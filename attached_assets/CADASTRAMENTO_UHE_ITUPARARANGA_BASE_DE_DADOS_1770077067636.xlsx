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filterPrivacy="1" hidePivotFieldList="1"/>
  <xr:revisionPtr revIDLastSave="0" documentId="8_{45514976-0011-45C4-8578-112A55E50F50}" xr6:coauthVersionLast="47" xr6:coauthVersionMax="47" xr10:uidLastSave="{00000000-0000-0000-0000-000000000000}"/>
  <bookViews>
    <workbookView xWindow="-28920" yWindow="-120" windowWidth="29040" windowHeight="15720" tabRatio="596" xr2:uid="{00000000-000D-0000-FFFF-FFFF00000000}"/>
  </bookViews>
  <sheets>
    <sheet name="CADASTRAMENTO" sheetId="1" r:id="rId1"/>
    <sheet name="IRREGULARIDADES" sheetId="8" r:id="rId2"/>
    <sheet name="GRÁFICO CADASTRAMENTO" sheetId="9" r:id="rId3"/>
    <sheet name="HH ATIVIDADE" sheetId="10" r:id="rId4"/>
    <sheet name="Lista" sheetId="6" r:id="rId5"/>
  </sheets>
  <definedNames>
    <definedName name="_xlnm._FilterDatabase" localSheetId="0" hidden="1">CADASTRAMENTO!$A$1:$BO$1</definedName>
  </definedNames>
  <calcPr calcId="191028"/>
  <pivotCaches>
    <pivotCache cacheId="2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9" l="1"/>
</calcChain>
</file>

<file path=xl/sharedStrings.xml><?xml version="1.0" encoding="utf-8"?>
<sst xmlns="http://schemas.openxmlformats.org/spreadsheetml/2006/main" count="2171" uniqueCount="637">
  <si>
    <t>NOTIFICAÇÃO</t>
  </si>
  <si>
    <t>ID</t>
  </si>
  <si>
    <t>SGT2</t>
  </si>
  <si>
    <t>SGP</t>
  </si>
  <si>
    <t>SETOR</t>
  </si>
  <si>
    <t>MARGEM</t>
  </si>
  <si>
    <t>MUNICÍPIO</t>
  </si>
  <si>
    <t xml:space="preserve">NÚMERO CONFRONTANTE </t>
  </si>
  <si>
    <t>PROPRIETÁRIO</t>
  </si>
  <si>
    <t xml:space="preserve">LOTEAMENTO/ CONDOMINIO </t>
  </si>
  <si>
    <t>TIPO DE INSPEÇÃO</t>
  </si>
  <si>
    <t xml:space="preserve">DATA </t>
  </si>
  <si>
    <t>COMODATÁRIO</t>
  </si>
  <si>
    <t>CONTRATO VIGENTE</t>
  </si>
  <si>
    <t>ZONA</t>
  </si>
  <si>
    <t>COORDENADA UTM (E) INICIAL</t>
  </si>
  <si>
    <t xml:space="preserve">COORDENADA UTM (S) INICIAL </t>
  </si>
  <si>
    <t>COORDENADA UTM (E) FINAL</t>
  </si>
  <si>
    <t>COORDENADA UTM (S) FINAL</t>
  </si>
  <si>
    <t>DETECCÇÃO</t>
  </si>
  <si>
    <t>Ciclo</t>
  </si>
  <si>
    <t>Data Ciclo</t>
  </si>
  <si>
    <t>Identificado Responsável?</t>
  </si>
  <si>
    <t>Ação para Identificar Responsável</t>
  </si>
  <si>
    <t>Status da ação para identificar responsável</t>
  </si>
  <si>
    <t>TIPO DE INTERVENÇÃO</t>
  </si>
  <si>
    <t>INTERVENÇÃO</t>
  </si>
  <si>
    <t>DETALHAMENTO DA INTERVENÇÃO</t>
  </si>
  <si>
    <t>EMISSÃO DE NOTIFICAÇÃO?</t>
  </si>
  <si>
    <t>Reincidente?</t>
  </si>
  <si>
    <t>Objetivo da Notificação</t>
  </si>
  <si>
    <t>Plano de Ação</t>
  </si>
  <si>
    <t>AÇÃO</t>
  </si>
  <si>
    <t>STATUS</t>
  </si>
  <si>
    <t>EVIDÊNCIA FOTOGRÁFICA</t>
  </si>
  <si>
    <t>RELATÓRIO WORD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</si>
  <si>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</si>
  <si>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</si>
  <si>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</si>
  <si>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</si>
  <si>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</si>
  <si>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</si>
  <si>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</si>
  <si>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</si>
  <si>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</si>
  <si>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</si>
  <si>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Coluna18</t>
  </si>
  <si>
    <t>Coluna19</t>
  </si>
  <si>
    <t>Coluna20</t>
  </si>
  <si>
    <t>Coluna21</t>
  </si>
  <si>
    <t>Coluna22</t>
  </si>
  <si>
    <t>Coluna23</t>
  </si>
  <si>
    <t>Coluna24</t>
  </si>
  <si>
    <t>0001/26</t>
  </si>
  <si>
    <t>1 A 3</t>
  </si>
  <si>
    <t>DIREITA</t>
  </si>
  <si>
    <t>VOTORANTIM</t>
  </si>
  <si>
    <t>COMPANHIA BRASILEIRA DE ALUMINIO</t>
  </si>
  <si>
    <t>NA</t>
  </si>
  <si>
    <t>CADASTRAMENTO</t>
  </si>
  <si>
    <t>NÃO</t>
  </si>
  <si>
    <t>23K</t>
  </si>
  <si>
    <t>VISTORIA IN LOCO</t>
  </si>
  <si>
    <t>OUTROS</t>
  </si>
  <si>
    <t>ÁREA PRESERVADA SEM INTERVENÇÃO IRREGULAR</t>
  </si>
  <si>
    <t>NOTIFICAR</t>
  </si>
  <si>
    <t>NÃO EXECUTADO</t>
  </si>
  <si>
    <t>SIM</t>
  </si>
  <si>
    <t>EQUIPE SOROCABA</t>
  </si>
  <si>
    <t>0002/26</t>
  </si>
  <si>
    <t>MIGUEL GONÇALVES PACHECO DE OLIVEIRA</t>
  </si>
  <si>
    <t>USO IRREGULAR</t>
  </si>
  <si>
    <t>PASTAGEM; AVANÇO DE CERCA</t>
  </si>
  <si>
    <t xml:space="preserve">ÁREA COM USO </t>
  </si>
  <si>
    <t>Empresa Contratada</t>
  </si>
  <si>
    <t>0003/26</t>
  </si>
  <si>
    <t>OCUPAÇÃO IRREGULAR</t>
  </si>
  <si>
    <t>RANCHO DE PESCA</t>
  </si>
  <si>
    <t>RANCHO DE PESCA CONSTRUÍDO DE FORMA IRREGULAR EM ÁREA OPERACIONAL</t>
  </si>
  <si>
    <t>0004/26</t>
  </si>
  <si>
    <t>ALUMINIO</t>
  </si>
  <si>
    <t>ÁREA PRESERVADA COM INTERVENÇÃO IRREGULAR</t>
  </si>
  <si>
    <t>0005/26</t>
  </si>
  <si>
    <t>0006/26</t>
  </si>
  <si>
    <t>NÃO IDENTIFICADO</t>
  </si>
  <si>
    <t>0007/26</t>
  </si>
  <si>
    <t>VALDEMAR PERES</t>
  </si>
  <si>
    <t>RAMPA EMBARCAÇÃO</t>
  </si>
  <si>
    <t>ÁREA COM INTERVENÇÃO IRREGULAR</t>
  </si>
  <si>
    <t>0008/26</t>
  </si>
  <si>
    <t>ANTONIO JORGE MARTINS</t>
  </si>
  <si>
    <t>USOS IRREGULARES</t>
  </si>
  <si>
    <t>ACESSO; EMBARCAÇÃO</t>
  </si>
  <si>
    <t>0009/26</t>
  </si>
  <si>
    <t>MESSIAS JESUS DOS SANTOS</t>
  </si>
  <si>
    <t>PIER FIXO; PIER FLUTUANTE; EMBARCAÇÕES</t>
  </si>
  <si>
    <t>0010/26</t>
  </si>
  <si>
    <t>SABESP CAPTAÇÃO DE ÁGUA</t>
  </si>
  <si>
    <t>EDIFICAÇÃO; CAPTAÇÃO DE ÁGUA</t>
  </si>
  <si>
    <t>0011/26</t>
  </si>
  <si>
    <t>AVANÇO DE CERCA</t>
  </si>
  <si>
    <t>0012/26</t>
  </si>
  <si>
    <t xml:space="preserve"> </t>
  </si>
  <si>
    <t>ÁREA DE LAZER</t>
  </si>
  <si>
    <t>ÁREA COM INTERVENÇÃO IRREGULAR (SOB LT ALECRIM - FÁBRICA)</t>
  </si>
  <si>
    <t>0013/26</t>
  </si>
  <si>
    <t>MAIRINQUE</t>
  </si>
  <si>
    <t>COMPANHIA BRASILEIRA DE ALUMINIO (FAZENDA PANTOJO)</t>
  </si>
  <si>
    <t>ÁREA DE LAZER; RANCHO DE PESCA</t>
  </si>
  <si>
    <t>ÁREA COM INTERVENÇÃO IRREGULAR, SENDO UTILIZADA POR BANHISTAS E PESCADORES</t>
  </si>
  <si>
    <t>0014/26</t>
  </si>
  <si>
    <t>DESCONHECIDO</t>
  </si>
  <si>
    <t>ÁREA COM INTERVEÇÃO IRREGULAR, USO DE ÁREA PARA PASTAGEM E CERCA DE APROXIMADAMENTE 30M²</t>
  </si>
  <si>
    <t>0015/26</t>
  </si>
  <si>
    <t>ROGERIO GRATON</t>
  </si>
  <si>
    <t xml:space="preserve">ACESSO; PÍER FLUTUANTE; EMBARCAÇÃO; PLANTIO DE EXÓTICA </t>
  </si>
  <si>
    <t xml:space="preserve">ÁREA COM INTERVENÇÕES IRREGULARES; ACESSO APROX. 90M²; PIER APROX. 9M², 1 EMBARCAÇÃO; PLANTIO DE PINUS </t>
  </si>
  <si>
    <t>0016/26</t>
  </si>
  <si>
    <t>AGENOR BACHIN</t>
  </si>
  <si>
    <t>AVANÇO DE CERCA; PLANTIO DE EXÓTICAS</t>
  </si>
  <si>
    <t>ÁREA COM INTERVENÇÕES IRREGULARES</t>
  </si>
  <si>
    <t>0017/26</t>
  </si>
  <si>
    <t>0017/27</t>
  </si>
  <si>
    <t>ACESSO; PÍER FLUTUANTE; RAMPA EMBARCAÇÃO</t>
  </si>
  <si>
    <t>ÁREA COM INTERVENÇÕES IRREGULARES; ACESSO APROX. 600M²; PIER ARPOX. 26M²; RAMPA APROX. 200M²</t>
  </si>
  <si>
    <t>0018/26</t>
  </si>
  <si>
    <t>0018/28</t>
  </si>
  <si>
    <t>ACESSOS; PIERS FLUTUANTES; RAMPAS; PLANTIO DE EXOTICAS</t>
  </si>
  <si>
    <t>ACESSO 1: APROX. 20M²; ACESSO 2: APROX. 40M²; PIER FLUTUANTE 1: APROX. 26M²; PIER FLUTUANTE 2: APROX. 22M²; RAMPA 1: APROX. 150M²; RAMPA 2: APROX. 100M²</t>
  </si>
  <si>
    <t>0019/26</t>
  </si>
  <si>
    <t>0019/29</t>
  </si>
  <si>
    <t>ÁREA COM INTERVENÇÃO IRREGULAR; AVANÇO DE CERCA APROX. 50M</t>
  </si>
  <si>
    <t>0020/26</t>
  </si>
  <si>
    <t>JOSE PAULO GUTIERREZ</t>
  </si>
  <si>
    <t>ACESSO; PIER FLUTUANTE; AREA DE LAZER; RAMPA EMBARCAÇÃO; AVANÇO DE CERCA; CAPTAÇÃO DE ÁGUA</t>
  </si>
  <si>
    <t>0021/26</t>
  </si>
  <si>
    <t>EDIVAN BENEDITO SANTANA JUNIOR</t>
  </si>
  <si>
    <t>PIER FLUTUANTE; RAMPA PARA EMBARCAÇÃO</t>
  </si>
  <si>
    <t>ÁREA COM INTERVENÇÕES IRREGULARES; PIER FLUTUANTE APROX. 26M²; RAMPA APROX. 60M²</t>
  </si>
  <si>
    <t>0022/26</t>
  </si>
  <si>
    <t>LUCIANO T. CERNY</t>
  </si>
  <si>
    <t>ACESSO; PIER FLUTUANTE; AREA DE LAZER; RAMPAEMBARCAÇÃO</t>
  </si>
  <si>
    <t>ACESSO APROX. 12M²; PIER FLUTUANTE APROX. 18M²; AREA DE LAZER: 6M²</t>
  </si>
  <si>
    <t>0023/26</t>
  </si>
  <si>
    <t>LU CHIM UM</t>
  </si>
  <si>
    <t>REFLORESTAMENTO; ACESSO</t>
  </si>
  <si>
    <t>REFLORESTAMENTO CBA; ACESSO</t>
  </si>
  <si>
    <t>0024/26</t>
  </si>
  <si>
    <t>SÃO ROQUE CLUBE</t>
  </si>
  <si>
    <t>ACESSO; PIER FLUTUANTE; RAMPA; ÁREA DE LAZER</t>
  </si>
  <si>
    <t>ACESSO APROX. 100M²; PIER FLUTUANTE 1 APROX. 20M²; PIER FLUTUANTE 2 APROX. 20M²; RAMPA 1 APROX. 150M²; RAMPA 2 APROX. 500M²; AREA DE LAZER COM QUADRA DE VOLEI; PLANTIO DE EXÓTICAS; AVANÇO DE CERCA</t>
  </si>
  <si>
    <t>0025/26</t>
  </si>
  <si>
    <t>MIGUEL GONÇALVES DE OLIVEIRA PACHECO</t>
  </si>
  <si>
    <t>ACESSO; PIER FLUTUANTE; RAMPA; CAPTAÇÃO DE ÁGUA</t>
  </si>
  <si>
    <t>ACESSO APROX. 15M²; PIER APROX. 38M²; RAMPA APROX. 120M²</t>
  </si>
  <si>
    <t>0026/26</t>
  </si>
  <si>
    <t>GREGORIO</t>
  </si>
  <si>
    <t>ACESSO; PLANTIO DE EXOTICA</t>
  </si>
  <si>
    <t>0027/26</t>
  </si>
  <si>
    <t>MARELO AMARAL</t>
  </si>
  <si>
    <t>ACESSO; PIER FLUTUANTE</t>
  </si>
  <si>
    <t>ACESSO; PIER APROX 26M²; RAMPA 160M²</t>
  </si>
  <si>
    <t>0028/26</t>
  </si>
  <si>
    <t>AREA PRESERVADA</t>
  </si>
  <si>
    <t>0029/26</t>
  </si>
  <si>
    <t>JOSE CARLOS</t>
  </si>
  <si>
    <t>PIER FLUTUANTE; AREA DE LAZER; OUTROS</t>
  </si>
  <si>
    <t>PIER APROX. 300M²</t>
  </si>
  <si>
    <t>0030/26</t>
  </si>
  <si>
    <t>ARISTIDES LEANDRO PERAZIO</t>
  </si>
  <si>
    <t>ACESSO; RAMPA; AREA DE LAZER; PIER; SUPRESSÃO</t>
  </si>
  <si>
    <t>ACESSO APROX. 140M²; PIER APROX. 40M²; RAMPA APROX. 130M²</t>
  </si>
  <si>
    <t>0031/26</t>
  </si>
  <si>
    <t xml:space="preserve">DESCONHECIDO </t>
  </si>
  <si>
    <t xml:space="preserve">AREA PRESERVADA SEM INTERVENÇÃO </t>
  </si>
  <si>
    <t>0032/26</t>
  </si>
  <si>
    <t>ANANEÇA BATALHA AIROSA/ RONALDO</t>
  </si>
  <si>
    <t>PIER FLUTUANTE; AVANÇO DE CERCA; SUPRESSÃO; PLANTIO DE EXÓTICAS; OUTROS</t>
  </si>
  <si>
    <t>PIER APROX. 9M²; AVANÇO CERCA APROX. 100M; AREA GRAMADA; AREA DE PESCA</t>
  </si>
  <si>
    <t>0033/26</t>
  </si>
  <si>
    <t>FAIXA DE SERVIDÃO LT FRANÇA - FABRICA</t>
  </si>
  <si>
    <t>AREA SEM INTERVENÇÃO, FAIXA DE SEGURANÇA DA LT FRANÇA - FABRICA</t>
  </si>
  <si>
    <t>0034/26</t>
  </si>
  <si>
    <t>MAURICIO FRANCISCO RATTIECHIERE</t>
  </si>
  <si>
    <t>CONFERIR AS COORD</t>
  </si>
  <si>
    <t>RAMPA APROX. 150M²</t>
  </si>
  <si>
    <t>0035/26</t>
  </si>
  <si>
    <t>FERNANDO W ONG</t>
  </si>
  <si>
    <t>PIER FLUTUANTE; EMBARCAÇÕES; AVANÇO DE CERCA; PLANTIO EXÓTICAS; OUTROS</t>
  </si>
  <si>
    <t>AVANCO DE CERVA APROX 200M</t>
  </si>
  <si>
    <t>0036/26</t>
  </si>
  <si>
    <t>ACESSO; EDIFICAÇÃO; PIER FLUTUANTE; PIER FIXO; AREA DE LAZER; RAMPA; EMBARCAÇÃO; AVANÇO DE CERCA; CAPTAÇÃO DE ÁGUA; OUTROS</t>
  </si>
  <si>
    <t>PIER FIXO APROX. 20M²; PIER FLUTUANTE APROX. 30M²; AREA DE LAZER APROX. 25M²; RAMPA 300M²; AVANÇO DE CERCA APROX. 100M</t>
  </si>
  <si>
    <t>0037/26</t>
  </si>
  <si>
    <t>PRIMO AUGUSTINHO BENINI</t>
  </si>
  <si>
    <t>RAMPA; AVANÇO DE CERCA; AREA DE LAZER; OUTROS</t>
  </si>
  <si>
    <t>RAMPA APROX. 300M²; AVANÇO APROX. 200M;</t>
  </si>
  <si>
    <t>0038/26</t>
  </si>
  <si>
    <t xml:space="preserve">AREA PRESERVADA </t>
  </si>
  <si>
    <t>ACESSO; OUTROS</t>
  </si>
  <si>
    <t>ACESSO APROX. 300M²</t>
  </si>
  <si>
    <t>0039/26</t>
  </si>
  <si>
    <t>RODRIGO MAGALHAES</t>
  </si>
  <si>
    <t>RAMPA; AVANÇO DE CERCA</t>
  </si>
  <si>
    <t>RAMPA APROX. 200M²; CERCA APROX. 150M</t>
  </si>
  <si>
    <t>0040/26</t>
  </si>
  <si>
    <t>ACESSO; PIER FLUTUANTE; AREA DE LAZER; RAMPA; AVANÇO CERCA; PLANTIO DE EXOTICAS; OUTROS</t>
  </si>
  <si>
    <t>ACESSO APROXZ. 30M²; PIER FLUTUANTE APROX. 10M²; AREA DE LAZER APROX. 100M²; RAMPA APROX. 150M²; AVANÇO CERCA APROX. 150M</t>
  </si>
  <si>
    <t>0041/26</t>
  </si>
  <si>
    <t>MARCO RODOLFO</t>
  </si>
  <si>
    <t>ACESSO; AREA DE LAZER; PIER FLUTUANTE; AVANÇO DE CERCA</t>
  </si>
  <si>
    <t>ACESSO APROX. 50M²; PIER APROX. 18M²; RAMPA APROX. 200M²</t>
  </si>
  <si>
    <t>0042/26</t>
  </si>
  <si>
    <t>ACESSO; PIER FLUTUANTE; AREA DE LAZER; RAMPA; AVANÇO CERCA; PLANTIO EXOTICAS; OUTROS</t>
  </si>
  <si>
    <t>ACESSO APROX. 60M²; PIER APROX. 20M²; RAMPA APROX. 300M²; AREA DE LAZER APROX. 50M²; AVANÇO CERCA APROX. 30M</t>
  </si>
  <si>
    <t>0043/26</t>
  </si>
  <si>
    <t>JAMES</t>
  </si>
  <si>
    <t>ACESSO; PIER FIXO, PIER FLUTUANTE, AAREA DE LAZER, AVANÇO CERCA; PLANTIO EXOTICA; OUTROS</t>
  </si>
  <si>
    <t>ACESSO APROX. 15M²; PIER FLUTUANTE APROX. 25M²; AREA DE LAZER APROX. 25M²; AVANÇO CERCA 15M</t>
  </si>
  <si>
    <t>0044/26</t>
  </si>
  <si>
    <t>DIRCELI</t>
  </si>
  <si>
    <t>ACESSO; AREA DE LAZER; PLANTIO EXOTICA; AVANÇO CERCA; OUTROS</t>
  </si>
  <si>
    <t>ACESSO APROX. 15M²; AREA DE LAZER APROX. 100M²; CERCA APROX. 20M</t>
  </si>
  <si>
    <t>0045/26</t>
  </si>
  <si>
    <t>PEDRO RENATO</t>
  </si>
  <si>
    <t>AREA COM INTERVENÇÃO IRREGULAR</t>
  </si>
  <si>
    <t>0046/26</t>
  </si>
  <si>
    <t>ACESSO; AREA DE LAZER; AVANÇO CERCA; PLANTIO EXOTICA; OUTROS</t>
  </si>
  <si>
    <t>ACESSO APROX. 200M²; AREA DE LAZER 5M²; AVANÇO CERCA APROX. 100M</t>
  </si>
  <si>
    <t>0047/26</t>
  </si>
  <si>
    <t>ALIPIO</t>
  </si>
  <si>
    <t>CONFERIR A COORD</t>
  </si>
  <si>
    <t>ACESSO; EDIFICAÇÃO; PIER FLUTUANTE; RAMPA; AVANÇO CERCA; PLANTIO EXOTICAS; OUTROS</t>
  </si>
  <si>
    <t>ACESSO APROX. 60M²; PIER FLUTUANTE APROX. 25M²; RAMPA 300M²; CERCA APROX. 30M</t>
  </si>
  <si>
    <t>0048/26</t>
  </si>
  <si>
    <t>HUMBERTO</t>
  </si>
  <si>
    <t>PIER FLUTUANTE. RAMPA; OUTROS</t>
  </si>
  <si>
    <t>PIER FLUTUANTE APROX. 20M²; RAMPA APROX. 300M²</t>
  </si>
  <si>
    <t>0049/26</t>
  </si>
  <si>
    <t>PAULO JUNIOR MACIER</t>
  </si>
  <si>
    <t>ACESSO; PIER FLUTUANTE; AREA DE LAZER; OUTROS</t>
  </si>
  <si>
    <t>ACESSO APROX. 300M²; PIER APROX. 20M²; AREA DE LAZER APROX. 200M²</t>
  </si>
  <si>
    <t>0050/26</t>
  </si>
  <si>
    <t>AMAURI BELMONTI</t>
  </si>
  <si>
    <t>PIER FLUTUANTE; AREA DE LAZER; RAMPA EMBARCAÇÃO; EMBARCAÇÕES; AVANÇO CERCA; CAPTAÇÃO AGUA; PLANTIO EXÓTICAS; OUTROS</t>
  </si>
  <si>
    <t>PIER FLUTUANTE APROX. 25M²; AREA DE LAZER APROX. 25M²; RAMPA APROX. 200M²; EMBARCAÇÕES 2 UNIDADES; AVANÇO CERCA APROX. 150M</t>
  </si>
  <si>
    <t>0051/26</t>
  </si>
  <si>
    <t>CLAUDIO ROSSI/ JOSE ROBERTO (CASEIRO)</t>
  </si>
  <si>
    <t>PIER FLUTUANTE; AREA DE LAZER; RAMPA; AVANÇO CERCA; OUTROS</t>
  </si>
  <si>
    <t>FALTA A METRAGEM DAS IRREGULARIDADES</t>
  </si>
  <si>
    <t>0052/26</t>
  </si>
  <si>
    <t>AVANÇO DE CERCA; CAPTAÇÃO DE AGUA; PLANTIO EXÓTICAS</t>
  </si>
  <si>
    <t>NAO</t>
  </si>
  <si>
    <t>0053/26</t>
  </si>
  <si>
    <t>VITOR CAZALA</t>
  </si>
  <si>
    <t>SEM INTERVENÇÃO</t>
  </si>
  <si>
    <t xml:space="preserve">AREA COM VEGETAÇÃO NATIVA SEM INTERVENÇÃO </t>
  </si>
  <si>
    <t>0054/26</t>
  </si>
  <si>
    <t>JOSE ROMEU FILHO</t>
  </si>
  <si>
    <t>ACESSO; RAMPA; EMBARCAÇÃO</t>
  </si>
  <si>
    <t>ACESSO APROX. 40M²; RAMPA APROX. 60M²; 1 EMBARCAÇÃO</t>
  </si>
  <si>
    <t>0055/26</t>
  </si>
  <si>
    <t>LUIZ</t>
  </si>
  <si>
    <t>PIER FLUTUANTE</t>
  </si>
  <si>
    <t>0056/26</t>
  </si>
  <si>
    <t>LEONARDO</t>
  </si>
  <si>
    <t>PIER FLUTUANTE; RAMPA; AVANÇO CERCA; CAPTAÇÃO AGUA; SUPRESSAO VEGETAÇÃO; CAPTAÇÃO AGUA; OUTROS</t>
  </si>
  <si>
    <t>PIER APROX. 50M²; FALTA METRAGEM</t>
  </si>
  <si>
    <t>0058/26</t>
  </si>
  <si>
    <t>PIER FLUTUANTE APROX. 12M²</t>
  </si>
  <si>
    <t>0057/26</t>
  </si>
  <si>
    <t>DERECK SERRANO</t>
  </si>
  <si>
    <t>ACESSO; PRAIA ARTIFICIAL; RAMPA; EMBARCAÇÃO; SUPRESSÃO VEGETAL</t>
  </si>
  <si>
    <t>ACESSO APROX. 8M²; PRAIA APROX. 100M²; RAMPA APROX. 40M²; SUPRESSÃO VEGETAL APROX. 30M²</t>
  </si>
  <si>
    <t>APRESENTAR DOCUMENTOS</t>
  </si>
  <si>
    <t xml:space="preserve">EM ANDAMENTO </t>
  </si>
  <si>
    <t>0059/26</t>
  </si>
  <si>
    <t>0060/26</t>
  </si>
  <si>
    <t>TADEU</t>
  </si>
  <si>
    <t>ACESSO; SUPRESSÃO VEGETAL;PLANTIO EXOTICAS</t>
  </si>
  <si>
    <t>ACESSO APROX. 22M²; SUPRESSÃO VEGETAL APROX. 100M²; PLANTIO DE EXOTICAS APROX. 60M²</t>
  </si>
  <si>
    <t>0061/26</t>
  </si>
  <si>
    <t>FABIO</t>
  </si>
  <si>
    <t>RAMPA; AVANÇO CERCA</t>
  </si>
  <si>
    <t>RAMPA APROX. 90M²; AVANÇO APROX. 30M²</t>
  </si>
  <si>
    <t>0062/26</t>
  </si>
  <si>
    <t>MARCOS</t>
  </si>
  <si>
    <t>EDIFICAÇÃO; RAMPA; SUPRESSÃO VEGETAL; PLANTIO EXOTICAS</t>
  </si>
  <si>
    <t>EDIFICAÇÃO APROX. 28M²; RAMPA APROX. 200M²; SUPRESSÃO APROX. 400M²</t>
  </si>
  <si>
    <t>0063/26</t>
  </si>
  <si>
    <t>REINALDO MAGALHAES (NAUTICA PARAISO) ATUAL MAURO EMERICE DE CAMARGO</t>
  </si>
  <si>
    <t>ACESSO; AREA DE LAZER; RAMPA; SUPRESSAO VEGETAL; PLANTIO EXOTICAS; OUTROS</t>
  </si>
  <si>
    <t>ACESSO APROX. 100M²; AREA DE ALZER APROX. 30M²; RAMPA APROX. 500M², PLANTIO EXOTICAS APROX. 5000M²; OUTROS</t>
  </si>
  <si>
    <t>0064/26</t>
  </si>
  <si>
    <t>CLEIDE</t>
  </si>
  <si>
    <t>ACESSO; AREA DE LAZER; RAMPA; OUTROS</t>
  </si>
  <si>
    <t>ACESSO APROX. 8M²</t>
  </si>
  <si>
    <t>0065/26</t>
  </si>
  <si>
    <t>AVANÇO APROX. 80M²</t>
  </si>
  <si>
    <t>0066/26</t>
  </si>
  <si>
    <t>EDUARDO</t>
  </si>
  <si>
    <t>AVANÇO APROX. 40M²</t>
  </si>
  <si>
    <t>0067/26</t>
  </si>
  <si>
    <t>AREA DE SERVIDAO LOTEAMENTO</t>
  </si>
  <si>
    <t>ACESSO</t>
  </si>
  <si>
    <t>ACESSO APROX. 20M²</t>
  </si>
  <si>
    <t>0068/26</t>
  </si>
  <si>
    <t>TINO</t>
  </si>
  <si>
    <t>ACESSO; AVAÇO DE CERCA; OUTROS</t>
  </si>
  <si>
    <t>ACESSO APROX. 40M²; AVANÇO CERCA APROX. 100M²</t>
  </si>
  <si>
    <t>0069/26</t>
  </si>
  <si>
    <t xml:space="preserve">OUTROS; </t>
  </si>
  <si>
    <t xml:space="preserve">AREA 1 DE CAMPING APROX. 20M²; AREA 2 DE CAMPING APROX. 40M² </t>
  </si>
  <si>
    <t>0070/26</t>
  </si>
  <si>
    <t>AVANÇO DE CERCA; PLANTIO DE EXÓTICAS; SUPRESSAO VEGETAL</t>
  </si>
  <si>
    <t>AVANÇO APROX. 70M²; SUPRESSÃO VEGETAL APROX 160M²; PLANTIO EXOTICAS APROX 8M²</t>
  </si>
  <si>
    <t>0071/26</t>
  </si>
  <si>
    <t>ACESSO APROX. 1000M²</t>
  </si>
  <si>
    <t>0072/26</t>
  </si>
  <si>
    <t>PASTAGEM APROX. 5000M²</t>
  </si>
  <si>
    <t>0073/26</t>
  </si>
  <si>
    <t>CLAUDIO</t>
  </si>
  <si>
    <t>PASTAGEM; AVANÇO DE CERCA;PLANTIO EXOTICAS; OUTROS</t>
  </si>
  <si>
    <t>PASTAGEM APROX. 4000M²; AVANÇO CERCA APROX. 60M²</t>
  </si>
  <si>
    <t>0074/26</t>
  </si>
  <si>
    <t>RANCHO DO MAGRAO</t>
  </si>
  <si>
    <t>AREA DE LAZER; CAPTAÇÃO DE AGUA; PLANTIO EXOTICAS</t>
  </si>
  <si>
    <t>AREA DE LAZER APROX. 50M²</t>
  </si>
  <si>
    <t>0075/26</t>
  </si>
  <si>
    <t>0076/26</t>
  </si>
  <si>
    <t>FRANCELINO MARTINS DE OLIVEIRA FILHO</t>
  </si>
  <si>
    <t>PIER FLUTUANTE; AREA DE LAZER; RAMPA; EMBARCAÇÕES; AVANÇO CERCA</t>
  </si>
  <si>
    <t>PIER APROX. 20M²; AREA DE LAZER APROX. 10M²; RAMPA APROX. 100M²; AVANÇO APROX. 60M</t>
  </si>
  <si>
    <t>0077/26</t>
  </si>
  <si>
    <t>HARAS</t>
  </si>
  <si>
    <t>AREA DE LAZER; RAMPA; PASTAGEM</t>
  </si>
  <si>
    <t>AREA DE LAZER APROX. 2M²; RAMPA APROX. 260M²; PASTAGEM APROX. 2000M²</t>
  </si>
  <si>
    <t>0078/26</t>
  </si>
  <si>
    <t>0079/26</t>
  </si>
  <si>
    <t>AREA GRAMADA APROX. 1000M²</t>
  </si>
  <si>
    <t>0080/26</t>
  </si>
  <si>
    <t>MARCELO DIAS ROSSETE</t>
  </si>
  <si>
    <t>PASTAGEM</t>
  </si>
  <si>
    <t>PASTAGEM APROX. 1000M²</t>
  </si>
  <si>
    <t>0081/26</t>
  </si>
  <si>
    <t>ORONTES HENRIQUE</t>
  </si>
  <si>
    <t>PASTAGEM APROX. 1000M²; AVANÇO CERCA: 50M</t>
  </si>
  <si>
    <t>0082/26</t>
  </si>
  <si>
    <t xml:space="preserve">MARCELO </t>
  </si>
  <si>
    <t>EDIFICAÇÃO; AVANÇO CERCA</t>
  </si>
  <si>
    <t>EDIFICAÇÃO APROX. 8M²</t>
  </si>
  <si>
    <t>0083/26</t>
  </si>
  <si>
    <t>MARCELO GALVAO</t>
  </si>
  <si>
    <t>ACESSO; LAVOURA; OUTROS</t>
  </si>
  <si>
    <t>NÚMERO CONFRONTANTE</t>
  </si>
  <si>
    <t>EDIFICAÇÃO</t>
  </si>
  <si>
    <t>PÍER FIXO</t>
  </si>
  <si>
    <t>PÍER FLUTUANTE</t>
  </si>
  <si>
    <t>PRAIA ARTIFICIAL</t>
  </si>
  <si>
    <t>RAMPA PARA EMBARCAÇÃO</t>
  </si>
  <si>
    <t>EMBARCAÇÕES (UNID)</t>
  </si>
  <si>
    <t>LAVOURA</t>
  </si>
  <si>
    <t>SUPRESSÃO VEGETAL</t>
  </si>
  <si>
    <t>TANQUES REDE</t>
  </si>
  <si>
    <t>CAPTAÇÃO DE ÁGUA</t>
  </si>
  <si>
    <t>PLANTIO DE EXÓTICAS</t>
  </si>
  <si>
    <t>DESCRIÇÃO OUTROS</t>
  </si>
  <si>
    <t>AREA PRESERVADA SEM INTERVENÇÃO</t>
  </si>
  <si>
    <t>PASTAGEM: 261856/7387456; CERCA: 261837/7387693</t>
  </si>
  <si>
    <t>RANCHO DE PESCA: 264575/7386878</t>
  </si>
  <si>
    <t>RODA D AGUA: 264575/7386878;  ÁREA PRESERVADA COM INTERVENÇÃO</t>
  </si>
  <si>
    <t>AREA PRESERVADA SEM INTERVENÇÃO; CONFRONTO COM ESTRADA</t>
  </si>
  <si>
    <t>RAMPA PARA EMBARCAÇÃO: 266217/7388919</t>
  </si>
  <si>
    <t>ACESSO: 266262/738894; EMBARCAÇÃO:266271/7388931</t>
  </si>
  <si>
    <t>PIER FIXO: 266282/7388910; PIER FLUTUANTE: 2666335/7388915; EMABRCAÇÕES: 266313/7388969</t>
  </si>
  <si>
    <t>EDIFICAÇÃO: 266292/7389009; CAPTAÇÃO DE AGUA: 266308/7388991</t>
  </si>
  <si>
    <t xml:space="preserve">AVANÇO DE CERCA: 266304/7389033 </t>
  </si>
  <si>
    <t>AREA DE LAZER: 266812/7388408</t>
  </si>
  <si>
    <t>AREA DE LAZER: 267764/7389785</t>
  </si>
  <si>
    <t>PASTAGEM: 270743/7389398; AVANÇO DE CERCA: 270790/7389456</t>
  </si>
  <si>
    <t>ACESSO: 270532/7389252; PÍER FLUTUANTE: 270514/7389244; EMBARCAÇÃO: 270511/7389240; PLANTIO EXÓTICA (PINUS): 270648/7389308</t>
  </si>
  <si>
    <t xml:space="preserve">AVANÇO DE CERCA: 270568/7389140; PLANTIO EXÓTICA (PINUS): 270559/7389131; </t>
  </si>
  <si>
    <t>ACESSO: 270423/7389106; PÍER FLUTUANTE: 270480/7389095; RAMPA: 270410/7389124</t>
  </si>
  <si>
    <t>ACESSO 1 : 270303/73889123; PÍER FLUTUANTE 1: 270293/7389130; PIER FLUTUANTE 2: 270304/7389122, RAMPA 1: 270332/7389132; RAMPA 2:270318/7389035; ACESSO 2: 270327/7389143</t>
  </si>
  <si>
    <t>AVANÇO DE CERCA: 270272/7389102</t>
  </si>
  <si>
    <t>ACESSO: 270204/7389115; RAMPA: 270211/7389094; AREA DE LAZER: 270206/7389109; AVANÇO DE CERCA: 270198/7389113; CAPTAÇÃO DE ÁGUA: 270224/7389138; PIER FLUTUANTE: 270223/7389150</t>
  </si>
  <si>
    <t>PIER FLUTUANTE: 270079/7389091; RAMPA: 270087/7389126</t>
  </si>
  <si>
    <t>ACESSO: 270010/7389028; PIER FLUTUANTE: 270001/7389004; AREA DE LAZER: 270039/7388976; RAMPA: 270039/7388880</t>
  </si>
  <si>
    <t>ACESSO : 268430/7388653; OBS: ESTÁ LOCALIZADO O REFLORESTAMENTO CBA NESSA ÁREA</t>
  </si>
  <si>
    <t>ACESSO: 278795/7387864; PIER 1: 278841/7387860; PIER 2: 278806/7387897; RAMPA 1: 278841/7387860; RAMPA 2: 278782/7387863; AREA DE LAZER: 278761/7387805 (DUAS QUADRAS DE VOLEI)</t>
  </si>
  <si>
    <t>ACESSO: 278687/7387403; PIER: 278687/7387403; CAPTAÇÃO: 278693/7387396; RAMPA: 278656/7387444</t>
  </si>
  <si>
    <t>ACESSO: 278704/7387282; PLANTIO&gt; 278700/7387265</t>
  </si>
  <si>
    <t>ACESSO: 278736/7387197; RAMPA: 278750/7387105; PIER: 278712/7387126</t>
  </si>
  <si>
    <t>PIER FLUTUANTE: 278706/7387041; AREA DE LAZER: 278774/7387034; OUTROS (ACUMULO DE RESIDUOS SOLIDOS): 278744/7387015</t>
  </si>
  <si>
    <t>ACESSO: 268827/7386863; AREA DE LAZER: 268738/7386414; PIER FLUTUANTE: 268661/7386959; RAMPA: 268743/7386921</t>
  </si>
  <si>
    <t>INSERIR AS COORDENADAS</t>
  </si>
  <si>
    <t>FAIXA DE SERVIDÃO DA LT FRANÇA - FABRICA</t>
  </si>
  <si>
    <t>COONFERIR AS COORDENADAS</t>
  </si>
  <si>
    <t>EMBARCAÇÃO 01: 269688/7386817; EMBARCAÇÃO 02: 269646/7386866; PIER SEM USO: 269657/7386583; AVANCO CERCA: 269791/7386543; TRAPICHE PARA PESCA: 269673/7386543</t>
  </si>
  <si>
    <t>ACESSO: 269892/7386562; PIER FIXO (ESTRUTURA NA PEDRA): 269920/7386515; PIER FLUTUANTE: 269875/7386523; RAMPA: 269880/7386529; AREA DE LAZER: 269909/7386515; AVANÇO DE CERCA: 270020/7386560; CAPTAÇÃO DE AGUA SUBMERSA: 269793/7386541; OUTROS( RESTOS DE ALIMENTO PARA ALIMENTAÇÃO DE ANIMAIS - PATOS: 269891/7386547; POSTE DE ILUMINAÇÃO: 269837/7386599; BOIA DE SINALIZAÇÃO: 269937/7386478; MURO DE ARRIMO: 269850/7386592; AREA QUEIMADA: 269888/7386557; SUPRESSÃO:AREA PAVIMENTADA - CONFERIR COORDENADAS NO MAPS)</t>
  </si>
  <si>
    <t>RAMPA: 270026/7386486; AVANÇO CERCA: 270014/7386482 E 270084/7386503; AREA DE LAZER (BANCOS DE CONCRETO) 270025/7386469</t>
  </si>
  <si>
    <t>ACESSO: 270119/7386456; OUTROS (FOGUEIRA 270120/7386456; AFLUENTE 270104/7386476</t>
  </si>
  <si>
    <t>RAMPA: 270188/7386396; AVANÇO CERCA: 270158/7386373</t>
  </si>
  <si>
    <t>ACESSO: 270210/7386425; PIER: 270202/7386373; RAMPA: 270195/7386402; AREA DE LAZER(JARDIM/ALVENARIA/DUCHA/BANCOS/GUARDA SOL): 270209/7386385; OUTROS (POSTES DE ILUMINAÇÃO: 270114/7386411; SUPORTE PARA REDES: 270220/7386419; SUPORTE PARA CAIAQUES COM 03 UNIDADES: 270220/7386419) AVANÇO DE CERCA: 270223/7386411)</t>
  </si>
  <si>
    <t>ACESSO: (ESTA FALTANDO COORDENADA); PIER FLUTUANTE:270277/7386370; AVANÇO DE CERCA: 270235/7386413; RAMPA: (ESTA FALTANDO COORDENADA); AREA DE LAZER(FOGUEIRA/PERGOLADO/PLANTAS: 270238/7386387, AREA GRAMADA: 270237/7386395) OUTROS: (AREA COM ENTULHO/ QUEIMADA DE RESIDUOS): 270246/7386380</t>
  </si>
  <si>
    <t>ACESSO:  270262/7386409; PIER FLUTUANTE: 270249/7386362; PLANTIO DE EXOTICA: 270266/7386391; AREA DE LAZER (AREA DE CHURRASQUEIRA) 270268/7386416; OUTROS:(SUPORTE PARA REDE: 270269/7386362; ENCANAMENTO DRENAGEM PLUVIAL: 270257/7386398; PONTOS DE ILUMINAÇÃO: 270266/7386391; CONSTRUÇÃO DE ESCADA E ACESSO: 270263/7386109; AREA DE FOGUEIRA/RESIDUOS: 270261/7386381</t>
  </si>
  <si>
    <t>ACESSO: 270286/7386389; PIER FLUTUANTE: 270267/7386348; AREA DE LAZER (C/ BANCOS): 270279/7386378; OUTROS (AREA COM GRAMADO/PONTOS DE ILUMINAÇÃO/ PONTO DE IRRIGAÇÃO: 270291/7386387; ENTULHOS/FOGUEIRA: 270273/7386377; FOSSA: 270270/7386380); PLANTIO EXOTICAS: 270286/7386391</t>
  </si>
  <si>
    <t>ACESSO: 270307/7386392; AVANÇO CERCA: 270309/7386383; AREA DE LAZER (MURO DE ARRIMO SEPARA AS AREAS): AREA DE LAZER 1: 270301/7386389, AREA DE LAZER 2: 270302/7386380, AREA DE LAZER 3: 270299/7386363; OUTROS ( AREA GRAMADA:270300/7386391; PONTOS DE ILUMINAÇÃO: 270300/7386365; AREA DE QUEIMA DE RESIDUOS: 270299/7386363)</t>
  </si>
  <si>
    <t>OUTROS: AREA GRAMADA: 270313/7386376; AREA DE QUEIMA DE RESIDUOS: 270328/7386377</t>
  </si>
  <si>
    <t>ACESSO: 270350/7386374; AREA DE LAZER: 270331/7386358; PLANTIO EXOTICA: 270332/7386348; OUTROS (AREA COM GRAMADO: 270336/7386377; FOSSA: 270355/7386379; AREA COM ENTULHOS: 270331/7386337)</t>
  </si>
  <si>
    <t>ACESSO: FALTA AS COORDENADAS; RAMPA: 270352/7386363; AVANÇO CERCA: FALTA COORDENADAS; PIER FLUTUANTE: 270325/7386280; OUTROS( PONTOS DE ILUMINAÇÃO: 270352/7386363; BALANÇO: 270352/7386363; AREA PAVIMENTADA APROX. 60M²: 270352/7386358; MOVIMENTAÇÃO DE SOLO: 270337/7386320) PLANTAS ORNAMENTAIS: 270349/7386350</t>
  </si>
  <si>
    <t>PIER FLUTUANTE: 270641/7386303; RAMPA: 270376/7386349; OUTROS (POSTE ILUMINAÇÃO: 270336/7386306; AREA DE FOGUEIRA: 270328/7386305; TAMBORES: 270352/7386320; DECK: 270359/7386322)</t>
  </si>
  <si>
    <t>ACESSO: 270387/7386332; PIER FLUTUANTE: 270355/7386277; AREA DE LAZER: 270388/7386301; AREA COM GRAMADO: 270402/7386333; OUTROS (CAIXA DE INSPEÇÃO - EFLUENTE RESIDENCIAL: 270404/7386327; FOSSA DE EFLUENTE: 270399/7386315; AREA DE QUEIMA DE RESIDUOS: 270380/7386277)</t>
  </si>
  <si>
    <t>PIER FLUTUANTE: 270396/7386225; AREA DE LAZER: 270437/7386271; RAMPA: 270398/7386241; EMBARCAÇÃO: 270434/7386259; AVANÇO CERCA: 270380/7386272; CAPTAÇÃO AGUA: 270403/7386224;  OUTROS (ACUMULO DE MATERIAL LENHOSO: 270447/7386246 E 270474/7386225; PONTO DE ILUMINAÇÃO: 270445/7386245; PLANTIO - MILHO: 270477/7386212)</t>
  </si>
  <si>
    <t>RAMPA: 270526/7386238; PIER FLUTUANTE: 270542/7386209; AREA DE LAZER: 270524/7386247; AVAÇO CERCA: 270541/7386246; OUTROS (POÇO DE CAPTAÇÃO DESATIVADO: 270543/7386267</t>
  </si>
  <si>
    <t>CAPTAÇÃO DE ÁGUA: 270583/7386197; PLANTIO EXOTICA: 270600/738622</t>
  </si>
  <si>
    <t xml:space="preserve">AREA DE VEGETAÇÃO NATIVA: 270758/7386367 A 270679/7385618 </t>
  </si>
  <si>
    <t>ACESSO: 270849/7386400; RAMPA: 270847/7386389; EMBARCAÇÃO: 270826/7386381</t>
  </si>
  <si>
    <t xml:space="preserve">AREA DE VEGETAÇÃO NATIVA: 270873/7386319 </t>
  </si>
  <si>
    <t>PIER FLUTUANTE: 270993/7386342; RAMPA: 271009/7386359; CAPTAÇÃO DE AGUA: 270972/7386368; SUPRESSÃO VEGETAÇÃO: 270990/7386357; OUTROS( ILUMINAÇÃO: 271016/7386361; GALINHEIRO: 271016/7386356)</t>
  </si>
  <si>
    <t>ACESSO: 271438/7386429; PRAIA ARTIFICIAL: 271442/7386435; RAMPA: 271446/7386449; EMBARCAÇÃO: 271442/7386454; SUPRESSÃO VEGETAL: 271450/7386457</t>
  </si>
  <si>
    <t>PIER FLUTUANTE: 271038/7386317</t>
  </si>
  <si>
    <t>SEM INTERVENÇOES</t>
  </si>
  <si>
    <t>ACESSO: 271591/7386501; SUPRESSAO: 271608/7386523; PLANTIO EXOTICAS: 271588/7385510</t>
  </si>
  <si>
    <t>RAMPA: 271639/7386536;AVANÇO CERCA: 271008/7386522</t>
  </si>
  <si>
    <t>EDIFICACAO (MURO DE ARRIMO): 271654/7386550; RAMPA: 271651/7386562; SUPRESSAO VEGETAL: 271644/7386547</t>
  </si>
  <si>
    <t>ACESSO: 271696/7386602; AREA DE LAZER: 271679/7386580; RAMPA: 271740/7386607; SUPRESSAO: 271379/7386620; OUTROS(ENTULHOS: 271684/7386579; QUEIMA DE RESIDUOS: 271675/7386580; LANÇAMENTO DE EFLUENTE DOMESTICO: 272684/7386587; RESIDUOS EM TAMBOR: 271684/7386557)</t>
  </si>
  <si>
    <t>ACESSO: 271761/7388666; AREA DE LAZER: 271761/7386661; RAMPA: 271750/7386643; OUTROS(ENTULHOS: 271749; AREA QUEIMADA: 271751/7386656)</t>
  </si>
  <si>
    <t>AREA DE VEGETAÇÃO NATIVA; AVANÇO DE CERCA: 271781/7386697</t>
  </si>
  <si>
    <t>AVANÇO CERCA: 271780/7386703</t>
  </si>
  <si>
    <t>ACESSO: 271771/7386727</t>
  </si>
  <si>
    <t>ACESSO: 271788/7386750; AVANÇO: 271794/7386446; OUTROS(ARVORE CAÍDA: 271788/7386749)</t>
  </si>
  <si>
    <t>AREA 1 DE CAMPING: 271905/7386950; AREA 2 DE CAMPING: 271778/7386834; CHURRASQUEIRA: 271765/7386849; DESCARTE INADEQUADO DE RESIDUOS SOLIDOS: 271758/7386860</t>
  </si>
  <si>
    <t>AVANÇO DE CERCA: 271697/7386898; SUPRESSAO: 271690/7386892; PLANTIO EXOTICAS: 271686/7386887</t>
  </si>
  <si>
    <t>ACESSO: 271662/7386892</t>
  </si>
  <si>
    <t>AVANÇO DE CERCA: 271630/7386911; PASTAGEM: 271630/7386911</t>
  </si>
  <si>
    <t>PASTAGEM: 271594/7386936; CERCA: 271564/7386938; PLANTIO EXOTICA: 271621/7386921; OUTROS (DESCRATE DE RESIDUOS: 271612/7386925)</t>
  </si>
  <si>
    <t>AREA DE LAZER: 271545/7386942; PLANTIO DE EXOTICA: 271556/7386938; CAPTAÇÃO DE AGUA (POÇO ARTESIANO): 271529/7386949</t>
  </si>
  <si>
    <t>AREA SEM INTERVENÇAO</t>
  </si>
  <si>
    <t>PIER FLUTUANTE: 271613/7387049; AREA DE LAZER: 271549/7387062 E 271555/7387061; RAMPA: 271546/7387072; EMBARCAÇÃO: 271556/7387076 E 271617/7387045; AVANÇO CERCA: 271579/7387672; AREA DE VEGETAÇÃO NATIVA: 271572/7387049</t>
  </si>
  <si>
    <t>AREA DE LAZER: 271632/7387090; RAMPA: 271634/7387095</t>
  </si>
  <si>
    <t>OUTROS ( AREA GRAMADA): 271809/7387262</t>
  </si>
  <si>
    <t>PASTAGEM: 271802/7387226</t>
  </si>
  <si>
    <t>AVANÇO CERCA: 271820/7387175</t>
  </si>
  <si>
    <t>EDIFICAÇÃO: 271784/7387149; AVANÇO CERCA: 271824/7381773</t>
  </si>
  <si>
    <t>ACESSO: 271798/7387087; LAVOURA: 271794/7387107; OUTROS (2 CONTAINER: 271789/7387119 E AREA DE TERRAPLENAGEM: 271798/7387087</t>
  </si>
  <si>
    <t>Valores</t>
  </si>
  <si>
    <t>Soma de PÍER FIXO</t>
  </si>
  <si>
    <t>Soma de PÍER FLUTUANTE</t>
  </si>
  <si>
    <t>Soma de EDIFICAÇÃO</t>
  </si>
  <si>
    <t>Soma de ÁREA DE LAZER</t>
  </si>
  <si>
    <t>Soma de PRAIA ARTIFICIAL</t>
  </si>
  <si>
    <t>Soma de RAMPA PARA EMBARCAÇÃO</t>
  </si>
  <si>
    <t>Soma de EMBARCAÇÕES (UNID)</t>
  </si>
  <si>
    <t>Soma de LAVOURA</t>
  </si>
  <si>
    <t>Soma de PASTAGEM</t>
  </si>
  <si>
    <t>Soma de AVANÇO DE CERCA</t>
  </si>
  <si>
    <t>Soma de SUPRESSÃO VEGETAL</t>
  </si>
  <si>
    <t>Soma de TANQUES REDE</t>
  </si>
  <si>
    <t>Soma de CAPTAÇÃO DE ÁGUA</t>
  </si>
  <si>
    <t>Soma de PLANTIO DE EXÓTICAS</t>
  </si>
  <si>
    <t>Soma de OUTROS</t>
  </si>
  <si>
    <t>ETAPA</t>
  </si>
  <si>
    <t>H INICIO</t>
  </si>
  <si>
    <t>H FINAL</t>
  </si>
  <si>
    <t>OBS</t>
  </si>
  <si>
    <t>PARTICIPAÇÃO DDS</t>
  </si>
  <si>
    <t>CAFÉ/ALINHAMENTO DE ATIVIDADE/DOCUMENTAÇÃO</t>
  </si>
  <si>
    <t>SAÍDA USINA</t>
  </si>
  <si>
    <t>ABASTECIMENTO DO VEICULO</t>
  </si>
  <si>
    <t>CHEGADA NO RESERVATÓRIO UHE ITUPARARANGA</t>
  </si>
  <si>
    <t>RETIRADA DE EQUIPAMENTO/ORGANIZAÇÃO DE MATERIAL/ PREPARAÇÃO DE EMBARCAÇÃO</t>
  </si>
  <si>
    <t>DESLOCAMENTO ATÉ O PRIMEIRO PONTO DA ATIVIDADE</t>
  </si>
  <si>
    <t>INICIO DO CADASTRAMENTO</t>
  </si>
  <si>
    <t>CONFRONTANTE 2</t>
  </si>
  <si>
    <t>CONFRONTANTE 3</t>
  </si>
  <si>
    <t>CONFRONTANTE 4</t>
  </si>
  <si>
    <t>CONF 5</t>
  </si>
  <si>
    <t xml:space="preserve">CONF 6 </t>
  </si>
  <si>
    <t>CONF 7</t>
  </si>
  <si>
    <t>CONF 8</t>
  </si>
  <si>
    <t>CONF 9</t>
  </si>
  <si>
    <t>CONF 10</t>
  </si>
  <si>
    <t>CONF 11</t>
  </si>
  <si>
    <t>CONF 12</t>
  </si>
  <si>
    <t>CONF 13</t>
  </si>
  <si>
    <t>DESLOCAMENTO ATÉ O PORTO</t>
  </si>
  <si>
    <t>DESLOCAMENTO ATÉ USINA</t>
  </si>
  <si>
    <t>CAFÉ/ALINHAMENTO DE ATIVIDADE E DOCS</t>
  </si>
  <si>
    <t>DESLOCAMENTO USINA ATÉ POSTO</t>
  </si>
  <si>
    <t>ABASTECIMENTO</t>
  </si>
  <si>
    <t>AJUSTE NA PONTEIRA DO ENGATE (BORRACHARIA REI )</t>
  </si>
  <si>
    <t>DESLOCAMENTO ATÉ O RESERVATÓRIO</t>
  </si>
  <si>
    <t>RETIRADA DE EQUIPAMENTO/ PREPARAÇÃO EMBARCAÇÃO</t>
  </si>
  <si>
    <t>DESLOCAMENTO ATÉ O PONTO DA ATIVIDADE</t>
  </si>
  <si>
    <t>ALMOÇO</t>
  </si>
  <si>
    <t>CADASTRAMENTO CONFRONTANTE 14</t>
  </si>
  <si>
    <t>CADASTRAMENTO CONFRONTANTE 15</t>
  </si>
  <si>
    <t>CADASTRAMENTO CONFRONTANTE 16</t>
  </si>
  <si>
    <t>CADASTRAMENTO CONFRONTANTE 17</t>
  </si>
  <si>
    <t>ACOMPANHAMENTO RETIRADA DE CAÇAMBA DE RESÍDUOS</t>
  </si>
  <si>
    <t>DESLOCAMENTO ATÉ BORRACHARIA PARA CONSERTO PNEU</t>
  </si>
  <si>
    <t>CONSERTO PNEU</t>
  </si>
  <si>
    <t>DESLOCAMENTO RESERVATÓRIO</t>
  </si>
  <si>
    <t>ALMOCO</t>
  </si>
  <si>
    <t>DESMOBILIZAÇÃO DEVIDO A CHUVA</t>
  </si>
  <si>
    <t>DESLOCAMENTO ATÉ AUTO ELETRICA</t>
  </si>
  <si>
    <t>RETIRADA DE EMBARCAÇÃO (NÃO REALIZOU MANUTENÇÃO)</t>
  </si>
  <si>
    <t>Selecione a Intervenção:</t>
  </si>
  <si>
    <t>Município</t>
  </si>
  <si>
    <t>Imagem de Satélite</t>
  </si>
  <si>
    <t>Data_Coleta</t>
  </si>
  <si>
    <t>Tipo da Inspeção</t>
  </si>
  <si>
    <t>Margem</t>
  </si>
  <si>
    <t>Ação para identificar responsável</t>
  </si>
  <si>
    <t>Status da Ação para identificar responsável</t>
  </si>
  <si>
    <t>Tipo da Intervenção</t>
  </si>
  <si>
    <t>Emissão de notificação?</t>
  </si>
  <si>
    <t>Objetivo da notificação</t>
  </si>
  <si>
    <t>Status dos Planos de Ação</t>
  </si>
  <si>
    <t>Necessidade de manutenção/ implantação de cercas</t>
  </si>
  <si>
    <t>Responsável pela Inspeção</t>
  </si>
  <si>
    <t>Criação de animais</t>
  </si>
  <si>
    <t>ROTINA</t>
  </si>
  <si>
    <t>Solicitar identificação na CIDASC</t>
  </si>
  <si>
    <t>A INICIAR</t>
  </si>
  <si>
    <t>REGULARIZAÇÃO</t>
  </si>
  <si>
    <t>Suspensão imediata da(s) atividade(s)</t>
  </si>
  <si>
    <t>A INCIAR</t>
  </si>
  <si>
    <t>ISADORA MATTIAZZO</t>
  </si>
  <si>
    <t>EXECUTADO</t>
  </si>
  <si>
    <t>Terraplanagem</t>
  </si>
  <si>
    <t>IBIÚNA</t>
  </si>
  <si>
    <t>CICLO DE MONITORAMENTO</t>
  </si>
  <si>
    <t>ESQUERDA</t>
  </si>
  <si>
    <t>Identificar matrícula</t>
  </si>
  <si>
    <t>EM ANDAMENTO</t>
  </si>
  <si>
    <t>REVITALIZAÇÃO</t>
  </si>
  <si>
    <t xml:space="preserve">Remoção imediata da(s) estrutura(s) </t>
  </si>
  <si>
    <t>LUAN VIEIRA</t>
  </si>
  <si>
    <t>Cultivo agrícola</t>
  </si>
  <si>
    <t>Realizar visita ao proprietário</t>
  </si>
  <si>
    <t>CONCLUÍDA</t>
  </si>
  <si>
    <t>Suspensão da(s) atividade(s)</t>
  </si>
  <si>
    <t>CONLUÍDO</t>
  </si>
  <si>
    <t>CLAUDINEI CARDOSO</t>
  </si>
  <si>
    <t>Loteamento</t>
  </si>
  <si>
    <t>Solicitar documentação à prefeitura</t>
  </si>
  <si>
    <t>OCUPAÇÕES IRREGULARES</t>
  </si>
  <si>
    <t>Remoção da(s) estrutura(s)</t>
  </si>
  <si>
    <t>LUCAS DOMINGUES</t>
  </si>
  <si>
    <t>Benfeitoria</t>
  </si>
  <si>
    <t>USO E OCUPAÇÃO IRREGULAR</t>
  </si>
  <si>
    <t>Apresentação da regularidade ambiental</t>
  </si>
  <si>
    <t>VITOR ALBUQUERQUE</t>
  </si>
  <si>
    <t>Supressão da vegetação</t>
  </si>
  <si>
    <t>USOS E OCUPAÇÕES IRREGULARES</t>
  </si>
  <si>
    <t>Remoção da(s) estrutura(s) com prazo ou apresentação da regularidade ambiental</t>
  </si>
  <si>
    <t>Dano ao cercamento</t>
  </si>
  <si>
    <t>EQUIPE JUQUIÁ</t>
  </si>
  <si>
    <t>Acesso permeável</t>
  </si>
  <si>
    <t>Acesso impermeável</t>
  </si>
  <si>
    <t>Captação de água</t>
  </si>
  <si>
    <t>CORES MAPA</t>
  </si>
  <si>
    <t>Píer fixo</t>
  </si>
  <si>
    <t>Píer flutuante</t>
  </si>
  <si>
    <t>Irregularidade</t>
  </si>
  <si>
    <t>Cor sugerida</t>
  </si>
  <si>
    <t>Código HEX</t>
  </si>
  <si>
    <t>Justificativa técnica</t>
  </si>
  <si>
    <t>Acesso</t>
  </si>
  <si>
    <t>Marrom</t>
  </si>
  <si>
    <t>#8B5A2B</t>
  </si>
  <si>
    <t>Representa vias, solo exposto e movimentação</t>
  </si>
  <si>
    <t>Edificação</t>
  </si>
  <si>
    <t>Cinza escuro</t>
  </si>
  <si>
    <t>#4F4F4F</t>
  </si>
  <si>
    <t>Estrutura construída / permanente</t>
  </si>
  <si>
    <t>Pier fixo</t>
  </si>
  <si>
    <t>Azul escuro</t>
  </si>
  <si>
    <t>#003366</t>
  </si>
  <si>
    <t>Estrutura fixa sobre corpo hídrico</t>
  </si>
  <si>
    <t>Pier flutuante</t>
  </si>
  <si>
    <t>Azul claro</t>
  </si>
  <si>
    <t>#4DA6FF</t>
  </si>
  <si>
    <t>Estrutura móvel/flutuante</t>
  </si>
  <si>
    <t>Área de lazer</t>
  </si>
  <si>
    <t>Verde claro</t>
  </si>
  <si>
    <t>#7ED957</t>
  </si>
  <si>
    <t>Uso recreativo e antrópico</t>
  </si>
  <si>
    <t>Praia artificial</t>
  </si>
  <si>
    <t>Amarelo areia</t>
  </si>
  <si>
    <t>#F2D16B</t>
  </si>
  <si>
    <t>Remete à areia e intervenção paisagística</t>
  </si>
  <si>
    <t>Rampa para embarcação</t>
  </si>
  <si>
    <t>Laranja</t>
  </si>
  <si>
    <t>#FF8C00</t>
  </si>
  <si>
    <t>Infraestrutura de apoio náutico</t>
  </si>
  <si>
    <t>EMBARCAÇÕES</t>
  </si>
  <si>
    <t>Embarcações</t>
  </si>
  <si>
    <t>Azul petróleo</t>
  </si>
  <si>
    <t>#005F73</t>
  </si>
  <si>
    <t>Navegação / uso do espelho d’água</t>
  </si>
  <si>
    <t>Lavoura</t>
  </si>
  <si>
    <t>Verde médio</t>
  </si>
  <si>
    <t>#4CAF50</t>
  </si>
  <si>
    <t>Atividade agrícola</t>
  </si>
  <si>
    <t>Pastagem</t>
  </si>
  <si>
    <t>Verde oliva</t>
  </si>
  <si>
    <t>#8DAA2C</t>
  </si>
  <si>
    <t>Uso pecuário</t>
  </si>
  <si>
    <t>Avanço de cerca</t>
  </si>
  <si>
    <t>Roxo</t>
  </si>
  <si>
    <t>#6A0DAD</t>
  </si>
  <si>
    <t>Delimitação territorial irregular</t>
  </si>
  <si>
    <t>Supressão</t>
  </si>
  <si>
    <t>Vermelho</t>
  </si>
  <si>
    <t>#C00000</t>
  </si>
  <si>
    <t>Impacto ambiental crítico</t>
  </si>
  <si>
    <t>Tanque-rede</t>
  </si>
  <si>
    <t>Azul turquesa</t>
  </si>
  <si>
    <t>#2EC4B6</t>
  </si>
  <si>
    <t>Aquicultura em ambiente aquático</t>
  </si>
  <si>
    <t>Azul médio</t>
  </si>
  <si>
    <t>#0077B6</t>
  </si>
  <si>
    <t>Uso direto do recurso hídrico</t>
  </si>
  <si>
    <t>Plantio de exóticas</t>
  </si>
  <si>
    <t>Verde escuro</t>
  </si>
  <si>
    <t>#1B5E20</t>
  </si>
  <si>
    <t>Vegetação não nativa</t>
  </si>
  <si>
    <t>Outros</t>
  </si>
  <si>
    <t>Cinza claro</t>
  </si>
  <si>
    <t>#BDBDBD</t>
  </si>
  <si>
    <t>Categoria genérica / apoio</t>
  </si>
  <si>
    <t xml:space="preserve">Confrontante </t>
  </si>
  <si>
    <t>Azul-marinho institucional</t>
  </si>
  <si>
    <r>
      <t>HEX: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#1F2A44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</si>
</sst>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 Unicode MS"/>
    </font>
    <font>
      <sz val="14"/>
      <color theme="1"/>
      <name val="Calibri"/>
      <family val="2"/>
      <scheme val="minor"/>
    </font>
    <font>
      <sz val="1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pivotButton="1"/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17" fontId="4" fillId="0" borderId="10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" fontId="4" fillId="0" borderId="10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6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16" fontId="0" fillId="0" borderId="0" xfId="0" applyNumberFormat="1"/>
    <xf numFmtId="0" fontId="0" fillId="4" borderId="0" xfId="0" applyFill="1"/>
    <xf numFmtId="16" fontId="4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1" fontId="0" fillId="3" borderId="2" xfId="0" applyNumberForma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84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border outline="0"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[CADASTRAMENTO UHE ITUPARARANGA BASE DE DADOS.xlsx]GRÁFICO CADASTRAMENTO!Tabela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359672819690957E-2"/>
          <c:y val="0.13323855351414407"/>
          <c:w val="0.8933086305388297"/>
          <c:h val="0.775853290077870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CADASTRAMENTO'!$B$3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CADASTRAMENTO'!$A$4:$A$18</c:f>
              <c:strCache>
                <c:ptCount val="15"/>
                <c:pt idx="0">
                  <c:v>Soma de PÍER FIXO</c:v>
                </c:pt>
                <c:pt idx="1">
                  <c:v>Soma de PÍER FLUTUANTE</c:v>
                </c:pt>
                <c:pt idx="2">
                  <c:v>Soma de EDIFICAÇÃO</c:v>
                </c:pt>
                <c:pt idx="3">
                  <c:v>Soma de ÁREA DE LAZER</c:v>
                </c:pt>
                <c:pt idx="4">
                  <c:v>Soma de PRAIA ARTIFICIAL</c:v>
                </c:pt>
                <c:pt idx="5">
                  <c:v>Soma de RAMPA PARA EMBARCAÇÃO</c:v>
                </c:pt>
                <c:pt idx="6">
                  <c:v>Soma de EMBARCAÇÕES (UNID)</c:v>
                </c:pt>
                <c:pt idx="7">
                  <c:v>Soma de LAVOURA</c:v>
                </c:pt>
                <c:pt idx="8">
                  <c:v>Soma de PASTAGEM</c:v>
                </c:pt>
                <c:pt idx="9">
                  <c:v>Soma de AVANÇO DE CERCA</c:v>
                </c:pt>
                <c:pt idx="10">
                  <c:v>Soma de SUPRESSÃO VEGETAL</c:v>
                </c:pt>
                <c:pt idx="11">
                  <c:v>Soma de TANQUES REDE</c:v>
                </c:pt>
                <c:pt idx="12">
                  <c:v>Soma de CAPTAÇÃO DE ÁGUA</c:v>
                </c:pt>
                <c:pt idx="13">
                  <c:v>Soma de PLANTIO DE EXÓTICAS</c:v>
                </c:pt>
                <c:pt idx="14">
                  <c:v>Soma de OUTROS</c:v>
                </c:pt>
              </c:strCache>
            </c:strRef>
          </c:cat>
          <c:val>
            <c:numRef>
              <c:f>'GRÁFICO CADASTRAMENTO'!$B$4:$B$18</c:f>
              <c:numCache>
                <c:formatCode>General</c:formatCode>
                <c:ptCount val="15"/>
                <c:pt idx="0">
                  <c:v>3</c:v>
                </c:pt>
                <c:pt idx="1">
                  <c:v>30</c:v>
                </c:pt>
                <c:pt idx="2">
                  <c:v>6</c:v>
                </c:pt>
                <c:pt idx="3">
                  <c:v>22</c:v>
                </c:pt>
                <c:pt idx="4">
                  <c:v>1</c:v>
                </c:pt>
                <c:pt idx="5">
                  <c:v>32</c:v>
                </c:pt>
                <c:pt idx="6">
                  <c:v>25</c:v>
                </c:pt>
                <c:pt idx="7">
                  <c:v>2</c:v>
                </c:pt>
                <c:pt idx="8">
                  <c:v>7</c:v>
                </c:pt>
                <c:pt idx="9">
                  <c:v>33</c:v>
                </c:pt>
                <c:pt idx="10">
                  <c:v>7</c:v>
                </c:pt>
                <c:pt idx="11">
                  <c:v>0</c:v>
                </c:pt>
                <c:pt idx="12">
                  <c:v>8</c:v>
                </c:pt>
                <c:pt idx="13">
                  <c:v>22</c:v>
                </c:pt>
                <c:pt idx="14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E74C-4F56-9EDB-8A5EA4DF3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191424"/>
        <c:axId val="883191904"/>
      </c:barChart>
      <c:catAx>
        <c:axId val="88319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3191904"/>
        <c:crosses val="autoZero"/>
        <c:auto val="1"/>
        <c:lblAlgn val="ctr"/>
        <c:lblOffset val="100"/>
        <c:noMultiLvlLbl val="0"/>
      </c:catAx>
      <c:valAx>
        <c:axId val="88319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319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231454005934733"/>
          <c:y val="1.3845388285572157E-3"/>
          <c:w val="0.42944279591163864"/>
          <c:h val="0.24754046775751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0</xdr:row>
      <xdr:rowOff>104775</xdr:rowOff>
    </xdr:from>
    <xdr:to>
      <xdr:col>20</xdr:col>
      <xdr:colOff>209550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86216D-05E6-2DCC-F47C-EF42317B9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51.70937222222" createdVersion="8" refreshedVersion="8" minRefreshableVersion="3" recordCount="106" xr:uid="{AF2E2A86-5A77-4B78-AE49-AD6572D6F73C}">
  <cacheSource type="worksheet">
    <worksheetSource name="Tabela4"/>
  </cacheSource>
  <cacheFields count="20">
    <cacheField name="NÚMERO CONFRONTANTE" numFmtId="0">
      <sharedItems containsBlank="1"/>
    </cacheField>
    <cacheField name="SETOR" numFmtId="0">
      <sharedItems containsBlank="1" containsMixedTypes="1" containsNumber="1" containsInteger="1" minValue="4" maxValue="11"/>
    </cacheField>
    <cacheField name="MARGEM" numFmtId="0">
      <sharedItems containsBlank="1"/>
    </cacheField>
    <cacheField name="ACESSO" numFmtId="0">
      <sharedItems containsString="0" containsBlank="1" containsNumber="1" containsInteger="1" minValue="0" maxValue="2"/>
    </cacheField>
    <cacheField name="EDIFICAÇÃO" numFmtId="0">
      <sharedItems containsString="0" containsBlank="1" containsNumber="1" containsInteger="1" minValue="0" maxValue="1"/>
    </cacheField>
    <cacheField name="PÍER FIXO" numFmtId="0">
      <sharedItems containsString="0" containsBlank="1" containsNumber="1" containsInteger="1" minValue="0" maxValue="1"/>
    </cacheField>
    <cacheField name="PÍER FLUTUANTE" numFmtId="0">
      <sharedItems containsString="0" containsBlank="1" containsNumber="1" containsInteger="1" minValue="0" maxValue="2"/>
    </cacheField>
    <cacheField name="ÁREA DE LAZER" numFmtId="0">
      <sharedItems containsString="0" containsBlank="1" containsNumber="1" containsInteger="1" minValue="0" maxValue="1"/>
    </cacheField>
    <cacheField name="PRAIA ARTIFICIAL" numFmtId="0">
      <sharedItems containsString="0" containsBlank="1" containsNumber="1" containsInteger="1" minValue="0" maxValue="1"/>
    </cacheField>
    <cacheField name="RAMPA PARA EMBARCAÇÃO" numFmtId="0">
      <sharedItems containsString="0" containsBlank="1" containsNumber="1" containsInteger="1" minValue="0" maxValue="2"/>
    </cacheField>
    <cacheField name="EMBARCAÇÕES (UNID)" numFmtId="0">
      <sharedItems containsString="0" containsBlank="1" containsNumber="1" containsInteger="1" minValue="0" maxValue="13"/>
    </cacheField>
    <cacheField name="LAVOURA" numFmtId="0">
      <sharedItems containsString="0" containsBlank="1" containsNumber="1" containsInteger="1" minValue="0" maxValue="1"/>
    </cacheField>
    <cacheField name="PASTAGEM" numFmtId="0">
      <sharedItems containsString="0" containsBlank="1" containsNumber="1" containsInteger="1" minValue="0" maxValue="1"/>
    </cacheField>
    <cacheField name="AVANÇO DE CERCA" numFmtId="0">
      <sharedItems containsString="0" containsBlank="1" containsNumber="1" containsInteger="1" minValue="0" maxValue="1"/>
    </cacheField>
    <cacheField name="SUPRESSÃO VEGETAL" numFmtId="0">
      <sharedItems containsString="0" containsBlank="1" containsNumber="1" containsInteger="1" minValue="0" maxValue="1"/>
    </cacheField>
    <cacheField name="TANQUES REDE" numFmtId="0">
      <sharedItems containsString="0" containsBlank="1" containsNumber="1" containsInteger="1" minValue="0" maxValue="0"/>
    </cacheField>
    <cacheField name="CAPTAÇÃO DE ÁGUA" numFmtId="0">
      <sharedItems containsString="0" containsBlank="1" containsNumber="1" containsInteger="1" minValue="0" maxValue="1"/>
    </cacheField>
    <cacheField name="PLANTIO DE EXÓTICAS" numFmtId="0">
      <sharedItems containsString="0" containsBlank="1" containsNumber="1" containsInteger="1" minValue="0" maxValue="1"/>
    </cacheField>
    <cacheField name="OUTROS" numFmtId="0">
      <sharedItems containsString="0" containsBlank="1" containsNumber="1" containsInteger="1" minValue="0" maxValue="7"/>
    </cacheField>
    <cacheField name="DESCRIÇÃO OUTRO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s v=" "/>
    <s v="1 A 3"/>
    <s v="DIREITA"/>
    <n v="0"/>
    <n v="0"/>
    <n v="0"/>
    <n v="0"/>
    <n v="0"/>
    <n v="0"/>
    <n v="0"/>
    <n v="0"/>
    <n v="0"/>
    <n v="0"/>
    <n v="0"/>
    <n v="0"/>
    <n v="0"/>
    <n v="0"/>
    <n v="0"/>
    <n v="1"/>
    <s v="AREA PRESERVADA SEM INTERVENÇÃO"/>
  </r>
  <r>
    <s v="0002/26"/>
    <n v="4"/>
    <s v="DIREITA"/>
    <n v="0"/>
    <n v="0"/>
    <m/>
    <n v="0"/>
    <n v="0"/>
    <n v="0"/>
    <n v="0"/>
    <n v="0"/>
    <n v="1"/>
    <n v="1"/>
    <n v="0"/>
    <n v="0"/>
    <n v="0"/>
    <n v="0"/>
    <n v="0"/>
    <n v="0"/>
    <s v="PASTAGEM: 261856/7387456; CERCA: 261837/7387693"/>
  </r>
  <r>
    <s v="0003/26"/>
    <n v="5"/>
    <s v="DIREITA"/>
    <n v="0"/>
    <n v="1"/>
    <n v="0"/>
    <n v="0"/>
    <n v="0"/>
    <n v="0"/>
    <n v="0"/>
    <n v="0"/>
    <n v="0"/>
    <n v="0"/>
    <n v="0"/>
    <n v="0"/>
    <n v="0"/>
    <n v="0"/>
    <n v="0"/>
    <n v="1"/>
    <s v="RANCHO DE PESCA: 264575/7386878"/>
  </r>
  <r>
    <s v="0004/26"/>
    <n v="5"/>
    <s v="DIREITA"/>
    <n v="0"/>
    <n v="0"/>
    <n v="0"/>
    <n v="0"/>
    <n v="0"/>
    <n v="0"/>
    <n v="0"/>
    <n v="0"/>
    <n v="0"/>
    <n v="0"/>
    <n v="0"/>
    <n v="0"/>
    <n v="0"/>
    <n v="0"/>
    <n v="0"/>
    <n v="1"/>
    <s v="RODA D AGUA: 264575/7386878;  ÁREA PRESERVADA COM INTERVENÇÃO"/>
  </r>
  <r>
    <s v="0005/26"/>
    <n v="6"/>
    <s v="DIREITA"/>
    <n v="0"/>
    <n v="0"/>
    <n v="0"/>
    <n v="0"/>
    <n v="0"/>
    <n v="0"/>
    <n v="0"/>
    <n v="0"/>
    <n v="0"/>
    <n v="0"/>
    <n v="0"/>
    <n v="0"/>
    <n v="0"/>
    <n v="0"/>
    <n v="0"/>
    <n v="1"/>
    <s v="AREA PRESERVADA SEM INTERVENÇÃO"/>
  </r>
  <r>
    <s v="0006/26"/>
    <n v="6"/>
    <s v="DIREITA"/>
    <n v="0"/>
    <n v="0"/>
    <n v="0"/>
    <n v="0"/>
    <n v="0"/>
    <n v="0"/>
    <n v="0"/>
    <n v="0"/>
    <n v="0"/>
    <n v="0"/>
    <n v="0"/>
    <n v="0"/>
    <n v="0"/>
    <n v="0"/>
    <n v="0"/>
    <n v="1"/>
    <s v="AREA PRESERVADA SEM INTERVENÇÃO; CONFRONTO COM ESTRADA"/>
  </r>
  <r>
    <s v="0007/26"/>
    <n v="6"/>
    <s v="DIREITA"/>
    <n v="0"/>
    <n v="0"/>
    <n v="0"/>
    <n v="0"/>
    <n v="0"/>
    <n v="0"/>
    <n v="1"/>
    <n v="0"/>
    <n v="0"/>
    <n v="0"/>
    <n v="0"/>
    <n v="0"/>
    <n v="0"/>
    <n v="0"/>
    <n v="0"/>
    <n v="0"/>
    <s v="RAMPA PARA EMBARCAÇÃO: 266217/7388919"/>
  </r>
  <r>
    <s v="0008/26"/>
    <n v="6"/>
    <s v="DIREITA"/>
    <n v="1"/>
    <n v="0"/>
    <n v="0"/>
    <n v="0"/>
    <n v="0"/>
    <n v="0"/>
    <n v="0"/>
    <n v="1"/>
    <n v="0"/>
    <n v="0"/>
    <n v="0"/>
    <n v="0"/>
    <n v="0"/>
    <n v="0"/>
    <n v="0"/>
    <n v="0"/>
    <s v="ACESSO: 266262/738894; EMBARCAÇÃO:266271/7388931"/>
  </r>
  <r>
    <s v="0009/26"/>
    <n v="6"/>
    <s v="DIREITA"/>
    <n v="0"/>
    <n v="0"/>
    <n v="1"/>
    <n v="1"/>
    <n v="0"/>
    <n v="0"/>
    <n v="0"/>
    <n v="13"/>
    <n v="0"/>
    <n v="0"/>
    <n v="0"/>
    <n v="0"/>
    <n v="0"/>
    <n v="0"/>
    <n v="0"/>
    <n v="0"/>
    <s v="PIER FIXO: 266282/7388910; PIER FLUTUANTE: 2666335/7388915; EMABRCAÇÕES: 266313/7388969"/>
  </r>
  <r>
    <s v="0010/26"/>
    <n v="6"/>
    <s v="DIREITA"/>
    <n v="0"/>
    <n v="1"/>
    <n v="0"/>
    <n v="0"/>
    <n v="0"/>
    <n v="0"/>
    <n v="0"/>
    <n v="0"/>
    <n v="0"/>
    <n v="0"/>
    <n v="0"/>
    <n v="0"/>
    <n v="0"/>
    <n v="1"/>
    <n v="0"/>
    <n v="0"/>
    <s v="EDIFICAÇÃO: 266292/7389009; CAPTAÇÃO DE AGUA: 266308/7388991"/>
  </r>
  <r>
    <s v="0011/26"/>
    <n v="6"/>
    <s v="DIREITA"/>
    <n v="0"/>
    <n v="0"/>
    <n v="0"/>
    <n v="0"/>
    <n v="0"/>
    <n v="0"/>
    <n v="0"/>
    <n v="0"/>
    <n v="0"/>
    <n v="0"/>
    <n v="1"/>
    <n v="0"/>
    <n v="0"/>
    <n v="0"/>
    <n v="0"/>
    <n v="0"/>
    <s v="AVANÇO DE CERCA: 266304/7389033 "/>
  </r>
  <r>
    <s v="0012/26"/>
    <n v="6"/>
    <s v="DIREITA"/>
    <n v="0"/>
    <n v="0"/>
    <n v="0"/>
    <n v="0"/>
    <n v="1"/>
    <n v="0"/>
    <n v="0"/>
    <n v="0"/>
    <n v="0"/>
    <n v="0"/>
    <n v="0"/>
    <n v="0"/>
    <n v="0"/>
    <n v="0"/>
    <n v="0"/>
    <n v="0"/>
    <s v="AREA DE LAZER: 266812/7388408"/>
  </r>
  <r>
    <s v="0013/26"/>
    <n v="6"/>
    <s v="DIREITA"/>
    <n v="0"/>
    <n v="0"/>
    <n v="0"/>
    <n v="0"/>
    <n v="1"/>
    <n v="0"/>
    <n v="0"/>
    <n v="0"/>
    <n v="0"/>
    <n v="0"/>
    <n v="0"/>
    <n v="0"/>
    <n v="0"/>
    <n v="0"/>
    <n v="0"/>
    <n v="0"/>
    <s v="AREA DE LAZER: 267764/7389785"/>
  </r>
  <r>
    <s v="0014/26"/>
    <n v="8"/>
    <s v="DIREITA"/>
    <n v="0"/>
    <n v="0"/>
    <n v="0"/>
    <n v="0"/>
    <n v="0"/>
    <n v="0"/>
    <n v="0"/>
    <n v="0"/>
    <n v="0"/>
    <n v="1"/>
    <n v="1"/>
    <n v="0"/>
    <n v="0"/>
    <n v="0"/>
    <n v="0"/>
    <n v="0"/>
    <s v="PASTAGEM: 270743/7389398; AVANÇO DE CERCA: 270790/7389456"/>
  </r>
  <r>
    <s v="0015/26"/>
    <n v="8"/>
    <s v="DIREITA"/>
    <n v="1"/>
    <n v="0"/>
    <n v="0"/>
    <n v="1"/>
    <n v="0"/>
    <n v="0"/>
    <n v="0"/>
    <n v="1"/>
    <n v="0"/>
    <n v="0"/>
    <n v="0"/>
    <n v="0"/>
    <n v="0"/>
    <n v="0"/>
    <n v="1"/>
    <n v="0"/>
    <s v="ACESSO: 270532/7389252; PÍER FLUTUANTE: 270514/7389244; EMBARCAÇÃO: 270511/7389240; PLANTIO EXÓTICA (PINUS): 270648/7389308"/>
  </r>
  <r>
    <s v="0016/26"/>
    <n v="8"/>
    <s v="DIREITA"/>
    <n v="0"/>
    <n v="0"/>
    <n v="0"/>
    <n v="0"/>
    <n v="0"/>
    <n v="0"/>
    <n v="0"/>
    <n v="0"/>
    <n v="0"/>
    <n v="0"/>
    <n v="1"/>
    <n v="0"/>
    <n v="0"/>
    <n v="0"/>
    <n v="1"/>
    <n v="0"/>
    <s v="AVANÇO DE CERCA: 270568/7389140; PLANTIO EXÓTICA (PINUS): 270559/7389131; "/>
  </r>
  <r>
    <s v="0017/27"/>
    <n v="8"/>
    <s v="DIREITA"/>
    <n v="1"/>
    <n v="0"/>
    <n v="0"/>
    <n v="1"/>
    <n v="0"/>
    <n v="0"/>
    <n v="1"/>
    <n v="0"/>
    <n v="0"/>
    <n v="0"/>
    <n v="0"/>
    <n v="0"/>
    <n v="0"/>
    <n v="0"/>
    <n v="0"/>
    <n v="0"/>
    <s v="ACESSO: 270423/7389106; PÍER FLUTUANTE: 270480/7389095; RAMPA: 270410/7389124"/>
  </r>
  <r>
    <s v="0018/28"/>
    <n v="8"/>
    <s v="DIREITA"/>
    <n v="2"/>
    <n v="0"/>
    <n v="0"/>
    <n v="2"/>
    <n v="0"/>
    <n v="0"/>
    <n v="2"/>
    <n v="0"/>
    <n v="0"/>
    <n v="0"/>
    <n v="0"/>
    <n v="0"/>
    <n v="0"/>
    <n v="0"/>
    <n v="1"/>
    <n v="0"/>
    <s v="ACESSO 1 : 270303/73889123; PÍER FLUTUANTE 1: 270293/7389130; PIER FLUTUANTE 2: 270304/7389122, RAMPA 1: 270332/7389132; RAMPA 2:270318/7389035; ACESSO 2: 270327/7389143"/>
  </r>
  <r>
    <s v="0019/29"/>
    <n v="8"/>
    <s v="DIREITA"/>
    <n v="0"/>
    <n v="0"/>
    <n v="0"/>
    <n v="0"/>
    <n v="0"/>
    <n v="0"/>
    <n v="0"/>
    <n v="0"/>
    <n v="0"/>
    <n v="0"/>
    <n v="1"/>
    <n v="0"/>
    <n v="0"/>
    <n v="0"/>
    <n v="0"/>
    <n v="0"/>
    <s v="AVANÇO DE CERCA: 270272/7389102"/>
  </r>
  <r>
    <s v="0020/26"/>
    <n v="8"/>
    <s v="DIREITA"/>
    <n v="1"/>
    <n v="0"/>
    <n v="0"/>
    <n v="1"/>
    <n v="1"/>
    <n v="0"/>
    <n v="1"/>
    <n v="0"/>
    <n v="0"/>
    <n v="0"/>
    <n v="1"/>
    <n v="0"/>
    <n v="0"/>
    <n v="1"/>
    <n v="0"/>
    <n v="0"/>
    <s v="ACESSO: 270204/7389115; RAMPA: 270211/7389094; AREA DE LAZER: 270206/7389109; AVANÇO DE CERCA: 270198/7389113; CAPTAÇÃO DE ÁGUA: 270224/7389138; PIER FLUTUANTE: 270223/7389150"/>
  </r>
  <r>
    <s v="0021/26"/>
    <n v="8"/>
    <s v="DIREITA"/>
    <n v="0"/>
    <n v="0"/>
    <n v="0"/>
    <n v="1"/>
    <n v="0"/>
    <n v="0"/>
    <n v="1"/>
    <n v="0"/>
    <n v="0"/>
    <n v="0"/>
    <n v="0"/>
    <n v="0"/>
    <n v="0"/>
    <n v="0"/>
    <n v="0"/>
    <n v="0"/>
    <s v="PIER FLUTUANTE: 270079/7389091; RAMPA: 270087/7389126"/>
  </r>
  <r>
    <s v="0022/26"/>
    <n v="8"/>
    <s v="DIREITA"/>
    <n v="1"/>
    <n v="0"/>
    <n v="0"/>
    <n v="1"/>
    <n v="1"/>
    <n v="0"/>
    <n v="1"/>
    <n v="1"/>
    <n v="0"/>
    <n v="0"/>
    <n v="0"/>
    <n v="0"/>
    <n v="0"/>
    <n v="0"/>
    <n v="0"/>
    <n v="0"/>
    <s v="ACESSO: 270010/7389028; PIER FLUTUANTE: 270001/7389004; AREA DE LAZER: 270039/7388976; RAMPA: 270039/7388880"/>
  </r>
  <r>
    <s v="0023/26"/>
    <n v="9"/>
    <s v="DIREITA"/>
    <n v="1"/>
    <n v="0"/>
    <n v="0"/>
    <n v="0"/>
    <n v="0"/>
    <n v="0"/>
    <n v="0"/>
    <n v="0"/>
    <n v="0"/>
    <n v="0"/>
    <n v="0"/>
    <n v="0"/>
    <n v="0"/>
    <n v="0"/>
    <n v="0"/>
    <n v="1"/>
    <s v="ACESSO : 268430/7388653; OBS: ESTÁ LOCALIZADO O REFLORESTAMENTO CBA NESSA ÁREA"/>
  </r>
  <r>
    <s v="0024/26"/>
    <n v="10"/>
    <s v="DIREITA"/>
    <n v="1"/>
    <n v="0"/>
    <n v="0"/>
    <n v="2"/>
    <n v="1"/>
    <n v="0"/>
    <n v="2"/>
    <n v="0"/>
    <n v="0"/>
    <n v="0"/>
    <n v="1"/>
    <n v="0"/>
    <n v="0"/>
    <n v="0"/>
    <n v="1"/>
    <n v="1"/>
    <s v="ACESSO: 278795/7387864; PIER 1: 278841/7387860; PIER 2: 278806/7387897; RAMPA 1: 278841/7387860; RAMPA 2: 278782/7387863; AREA DE LAZER: 278761/7387805 (DUAS QUADRAS DE VOLEI)"/>
  </r>
  <r>
    <s v="0025/26"/>
    <n v="10"/>
    <s v="DIREITA"/>
    <n v="1"/>
    <n v="0"/>
    <n v="0"/>
    <n v="1"/>
    <n v="0"/>
    <n v="0"/>
    <n v="1"/>
    <n v="0"/>
    <n v="0"/>
    <n v="0"/>
    <n v="0"/>
    <n v="0"/>
    <n v="0"/>
    <n v="1"/>
    <n v="0"/>
    <n v="0"/>
    <s v="ACESSO: 278687/7387403; PIER: 278687/7387403; CAPTAÇÃO: 278693/7387396; RAMPA: 278656/7387444"/>
  </r>
  <r>
    <s v="0026/26"/>
    <n v="10"/>
    <s v="DIREITA"/>
    <n v="1"/>
    <n v="0"/>
    <n v="0"/>
    <n v="0"/>
    <n v="0"/>
    <n v="0"/>
    <n v="0"/>
    <n v="0"/>
    <n v="0"/>
    <n v="0"/>
    <n v="0"/>
    <n v="0"/>
    <n v="0"/>
    <n v="0"/>
    <n v="1"/>
    <n v="0"/>
    <s v="ACESSO: 278704/7387282; PLANTIO&gt; 278700/7387265"/>
  </r>
  <r>
    <s v="0027/26"/>
    <n v="10"/>
    <s v="DIREITA"/>
    <n v="1"/>
    <n v="0"/>
    <n v="0"/>
    <n v="1"/>
    <n v="0"/>
    <n v="0"/>
    <n v="1"/>
    <n v="0"/>
    <n v="0"/>
    <n v="0"/>
    <n v="0"/>
    <n v="0"/>
    <n v="0"/>
    <n v="0"/>
    <n v="0"/>
    <n v="0"/>
    <s v="ACESSO: 278736/7387197; RAMPA: 278750/7387105; PIER: 278712/7387126"/>
  </r>
  <r>
    <s v="0028/26"/>
    <n v="10"/>
    <s v="DIREITA"/>
    <n v="0"/>
    <n v="0"/>
    <n v="0"/>
    <n v="0"/>
    <n v="0"/>
    <n v="0"/>
    <n v="0"/>
    <n v="0"/>
    <n v="0"/>
    <n v="0"/>
    <n v="0"/>
    <n v="0"/>
    <n v="0"/>
    <n v="0"/>
    <n v="0"/>
    <n v="0"/>
    <s v="AREA PRESERVADA SEM INTERVENÇÃO"/>
  </r>
  <r>
    <s v="0029/26"/>
    <n v="10"/>
    <s v="DIREITA"/>
    <n v="0"/>
    <n v="0"/>
    <n v="0"/>
    <n v="1"/>
    <n v="1"/>
    <n v="0"/>
    <n v="0"/>
    <n v="0"/>
    <n v="0"/>
    <n v="0"/>
    <n v="0"/>
    <n v="0"/>
    <n v="0"/>
    <n v="0"/>
    <n v="0"/>
    <n v="1"/>
    <s v="PIER FLUTUANTE: 278706/7387041; AREA DE LAZER: 278774/7387034; OUTROS (ACUMULO DE RESIDUOS SOLIDOS): 278744/7387015"/>
  </r>
  <r>
    <s v="0030/26"/>
    <n v="10"/>
    <s v="DIREITA"/>
    <n v="1"/>
    <n v="0"/>
    <n v="0"/>
    <n v="1"/>
    <n v="1"/>
    <n v="0"/>
    <n v="1"/>
    <n v="0"/>
    <n v="0"/>
    <n v="0"/>
    <n v="0"/>
    <n v="0"/>
    <n v="0"/>
    <n v="0"/>
    <n v="0"/>
    <n v="1"/>
    <s v="ACESSO: 268827/7386863; AREA DE LAZER: 268738/7386414; PIER FLUTUANTE: 268661/7386959; RAMPA: 268743/7386921"/>
  </r>
  <r>
    <s v="0031/26"/>
    <n v="10"/>
    <s v="DIREITA"/>
    <n v="0"/>
    <n v="0"/>
    <n v="0"/>
    <n v="0"/>
    <n v="0"/>
    <n v="0"/>
    <n v="0"/>
    <n v="0"/>
    <n v="0"/>
    <n v="0"/>
    <n v="0"/>
    <n v="0"/>
    <n v="0"/>
    <n v="0"/>
    <n v="0"/>
    <n v="0"/>
    <s v="AREA PRESERVADA SEM INTERVENÇÃO"/>
  </r>
  <r>
    <s v="0032/26"/>
    <n v="10"/>
    <s v="DIREITA"/>
    <n v="0"/>
    <n v="0"/>
    <n v="0"/>
    <n v="1"/>
    <n v="0"/>
    <n v="0"/>
    <n v="0"/>
    <n v="0"/>
    <n v="0"/>
    <n v="0"/>
    <n v="1"/>
    <n v="0"/>
    <n v="0"/>
    <n v="0"/>
    <n v="1"/>
    <n v="1"/>
    <s v="INSERIR AS COORDENADAS"/>
  </r>
  <r>
    <s v="0033/26"/>
    <n v="10"/>
    <s v="DIREITA"/>
    <n v="0"/>
    <n v="0"/>
    <n v="0"/>
    <n v="0"/>
    <n v="0"/>
    <n v="0"/>
    <n v="0"/>
    <n v="0"/>
    <n v="0"/>
    <n v="0"/>
    <n v="0"/>
    <n v="0"/>
    <n v="0"/>
    <n v="0"/>
    <n v="0"/>
    <n v="0"/>
    <s v="FAIXA DE SERVIDÃO DA LT FRANÇA - FABRICA"/>
  </r>
  <r>
    <s v="0034/26"/>
    <n v="10"/>
    <s v="DIREITA"/>
    <n v="0"/>
    <n v="0"/>
    <n v="0"/>
    <n v="0"/>
    <n v="0"/>
    <n v="0"/>
    <n v="1"/>
    <n v="0"/>
    <n v="0"/>
    <n v="0"/>
    <n v="0"/>
    <n v="0"/>
    <n v="0"/>
    <n v="0"/>
    <n v="0"/>
    <n v="0"/>
    <s v="COONFERIR AS COORDENADAS"/>
  </r>
  <r>
    <s v="0035/26"/>
    <n v="10"/>
    <s v="DIREITA"/>
    <n v="0"/>
    <n v="0"/>
    <n v="0"/>
    <n v="1"/>
    <n v="0"/>
    <n v="0"/>
    <n v="0"/>
    <n v="2"/>
    <n v="0"/>
    <n v="0"/>
    <n v="1"/>
    <n v="0"/>
    <n v="0"/>
    <n v="0"/>
    <n v="1"/>
    <n v="1"/>
    <s v="EMBARCAÇÃO 01: 269688/7386817; EMBARCAÇÃO 02: 269646/7386866; PIER SEM USO: 269657/7386583; AVANCO CERCA: 269791/7386543; TRAPICHE PARA PESCA: 269673/7386543"/>
  </r>
  <r>
    <s v="0036/26"/>
    <n v="10"/>
    <s v="DIREITA"/>
    <n v="1"/>
    <n v="1"/>
    <n v="1"/>
    <n v="1"/>
    <n v="1"/>
    <n v="0"/>
    <n v="1"/>
    <n v="1"/>
    <n v="0"/>
    <n v="0"/>
    <n v="1"/>
    <n v="1"/>
    <n v="0"/>
    <n v="1"/>
    <n v="1"/>
    <n v="7"/>
    <s v="ACESSO: 269892/7386562; PIER FIXO (ESTRUTURA NA PEDRA): 269920/7386515; PIER FLUTUANTE: 269875/7386523; RAMPA: 269880/7386529; AREA DE LAZER: 269909/7386515; AVANÇO DE CERCA: 270020/7386560; CAPTAÇÃO DE AGUA SUBMERSA: 269793/7386541; OUTROS( RESTOS DE ALIMENTO PARA ALIMENTAÇÃO DE ANIMAIS - PATOS: 269891/7386547; POSTE DE ILUMINAÇÃO: 269837/7386599; BOIA DE SINALIZAÇÃO: 269937/7386478; MURO DE ARRIMO: 269850/7386592; AREA QUEIMADA: 269888/7386557; SUPRESSÃO:AREA PAVIMENTADA - CONFERIR COORDENADAS NO MAPS)"/>
  </r>
  <r>
    <s v="0037/26"/>
    <n v="10"/>
    <s v="DIREITA"/>
    <n v="0"/>
    <n v="0"/>
    <n v="0"/>
    <n v="0"/>
    <n v="0"/>
    <n v="0"/>
    <n v="1"/>
    <n v="0"/>
    <n v="0"/>
    <n v="0"/>
    <n v="1"/>
    <n v="0"/>
    <n v="0"/>
    <n v="0"/>
    <n v="1"/>
    <n v="1"/>
    <s v="RAMPA: 270026/7386486; AVANÇO CERCA: 270014/7386482 E 270084/7386503; AREA DE LAZER (BANCOS DE CONCRETO) 270025/7386469"/>
  </r>
  <r>
    <s v="0038/26"/>
    <n v="10"/>
    <s v="DIREITA"/>
    <n v="1"/>
    <n v="0"/>
    <n v="0"/>
    <n v="0"/>
    <n v="0"/>
    <n v="0"/>
    <n v="0"/>
    <n v="0"/>
    <n v="0"/>
    <n v="0"/>
    <n v="0"/>
    <n v="0"/>
    <n v="0"/>
    <n v="0"/>
    <n v="0"/>
    <n v="1"/>
    <s v="ACESSO: 270119/7386456; OUTROS (FOGUEIRA 270120/7386456; AFLUENTE 270104/7386476"/>
  </r>
  <r>
    <s v="0039/26"/>
    <n v="10"/>
    <s v="DIREITA"/>
    <n v="0"/>
    <n v="0"/>
    <n v="0"/>
    <n v="0"/>
    <n v="0"/>
    <n v="0"/>
    <n v="1"/>
    <n v="0"/>
    <n v="0"/>
    <n v="0"/>
    <n v="1"/>
    <n v="0"/>
    <n v="0"/>
    <n v="0"/>
    <n v="0"/>
    <n v="0"/>
    <s v="RAMPA: 270188/7386396; AVANÇO CERCA: 270158/7386373"/>
  </r>
  <r>
    <s v="0040/26"/>
    <n v="10"/>
    <s v="DIREITA"/>
    <n v="1"/>
    <n v="0"/>
    <n v="0"/>
    <n v="1"/>
    <n v="1"/>
    <n v="0"/>
    <n v="1"/>
    <n v="0"/>
    <n v="0"/>
    <n v="0"/>
    <n v="1"/>
    <n v="0"/>
    <n v="0"/>
    <n v="0"/>
    <n v="1"/>
    <n v="4"/>
    <s v="ACESSO: 270210/7386425; PIER: 270202/7386373; RAMPA: 270195/7386402; AREA DE LAZER(JARDIM/ALVENARIA/DUCHA/BANCOS/GUARDA SOL): 270209/7386385; OUTROS (POSTES DE ILUMINAÇÃO: 270114/7386411; SUPORTE PARA REDES: 270220/7386419; SUPORTE PARA CAIAQUES COM 03 UNIDADES: 270220/7386419) AVANÇO DE CERCA: 270223/7386411)"/>
  </r>
  <r>
    <s v="0041/26"/>
    <n v="10"/>
    <s v="DIREITA"/>
    <n v="1"/>
    <n v="0"/>
    <n v="0"/>
    <n v="1"/>
    <n v="1"/>
    <n v="0"/>
    <n v="1"/>
    <n v="0"/>
    <n v="0"/>
    <n v="0"/>
    <n v="1"/>
    <n v="0"/>
    <n v="0"/>
    <n v="0"/>
    <n v="1"/>
    <n v="2"/>
    <s v="ACESSO: (ESTA FALTANDO COORDENADA); PIER FLUTUANTE:270277/7386370; AVANÇO DE CERCA: 270235/7386413; RAMPA: (ESTA FALTANDO COORDENADA); AREA DE LAZER(FOGUEIRA/PERGOLADO/PLANTAS: 270238/7386387, AREA GRAMADA: 270237/7386395) OUTROS: (AREA COM ENTULHO/ QUEIMADA DE RESIDUOS): 270246/7386380"/>
  </r>
  <r>
    <s v="0042/26"/>
    <n v="10"/>
    <s v="DIREITA"/>
    <n v="1"/>
    <n v="0"/>
    <n v="0"/>
    <n v="1"/>
    <n v="1"/>
    <n v="0"/>
    <n v="1"/>
    <n v="0"/>
    <n v="0"/>
    <n v="0"/>
    <n v="1"/>
    <n v="0"/>
    <n v="0"/>
    <n v="0"/>
    <n v="1"/>
    <n v="5"/>
    <s v="ACESSO:  270262/7386409; PIER FLUTUANTE: 270249/7386362; PLANTIO DE EXOTICA: 270266/7386391; AREA DE LAZER (AREA DE CHURRASQUEIRA) 270268/7386416; OUTROS:(SUPORTE PARA REDE: 270269/7386362; ENCANAMENTO DRENAGEM PLUVIAL: 270257/7386398; PONTOS DE ILUMINAÇÃO: 270266/7386391; CONSTRUÇÃO DE ESCADA E ACESSO: 270263/7386109; AREA DE FOGUEIRA/RESIDUOS: 270261/7386381"/>
  </r>
  <r>
    <s v="0043/26"/>
    <n v="10"/>
    <s v="DIREITA"/>
    <n v="1"/>
    <n v="0"/>
    <n v="1"/>
    <n v="1"/>
    <n v="1"/>
    <n v="0"/>
    <n v="0"/>
    <n v="0"/>
    <n v="0"/>
    <n v="0"/>
    <n v="1"/>
    <n v="0"/>
    <n v="0"/>
    <n v="0"/>
    <n v="1"/>
    <n v="7"/>
    <s v="ACESSO: 270286/7386389; PIER FLUTUANTE: 270267/7386348; AREA DE LAZER (C/ BANCOS): 270279/7386378; OUTROS (AREA COM GRAMADO/PONTOS DE ILUMINAÇÃO/ PONTO DE IRRIGAÇÃO: 270291/7386387; ENTULHOS/FOGUEIRA: 270273/7386377; FOSSA: 270270/7386380); PLANTIO EXOTICAS: 270286/7386391"/>
  </r>
  <r>
    <s v="0044/26"/>
    <n v="10"/>
    <s v="DIREITA"/>
    <n v="1"/>
    <n v="0"/>
    <n v="0"/>
    <n v="0"/>
    <n v="1"/>
    <n v="0"/>
    <n v="0"/>
    <n v="0"/>
    <n v="0"/>
    <n v="0"/>
    <n v="1"/>
    <n v="0"/>
    <n v="0"/>
    <n v="0"/>
    <n v="1"/>
    <n v="3"/>
    <s v="ACESSO: 270307/7386392; AVANÇO CERCA: 270309/7386383; AREA DE LAZER (MURO DE ARRIMO SEPARA AS AREAS): AREA DE LAZER 1: 270301/7386389, AREA DE LAZER 2: 270302/7386380, AREA DE LAZER 3: 270299/7386363; OUTROS ( AREA GRAMADA:270300/7386391; PONTOS DE ILUMINAÇÃO: 270300/7386365; AREA DE QUEIMA DE RESIDUOS: 270299/7386363)"/>
  </r>
  <r>
    <s v="0045/26"/>
    <n v="10"/>
    <s v="DIREITA"/>
    <n v="0"/>
    <n v="0"/>
    <n v="0"/>
    <n v="0"/>
    <n v="0"/>
    <n v="0"/>
    <n v="0"/>
    <n v="0"/>
    <n v="0"/>
    <n v="0"/>
    <n v="0"/>
    <n v="0"/>
    <n v="0"/>
    <n v="0"/>
    <n v="0"/>
    <n v="2"/>
    <s v="OUTROS: AREA GRAMADA: 270313/7386376; AREA DE QUEIMA DE RESIDUOS: 270328/7386377"/>
  </r>
  <r>
    <s v="0046/26"/>
    <n v="10"/>
    <s v="DIREITA"/>
    <n v="1"/>
    <n v="0"/>
    <n v="0"/>
    <n v="0"/>
    <n v="1"/>
    <n v="0"/>
    <n v="0"/>
    <n v="0"/>
    <n v="0"/>
    <n v="0"/>
    <n v="1"/>
    <n v="0"/>
    <n v="0"/>
    <n v="0"/>
    <n v="0"/>
    <n v="3"/>
    <s v="ACESSO: 270350/7386374; AREA DE LAZER: 270331/7386358; PLANTIO EXOTICA: 270332/7386348; OUTROS (AREA COM GRAMADO: 270336/7386377; FOSSA: 270355/7386379; AREA COM ENTULHOS: 270331/7386337)"/>
  </r>
  <r>
    <s v="0047/26"/>
    <n v="10"/>
    <s v="DIREITA"/>
    <n v="1"/>
    <n v="1"/>
    <n v="0"/>
    <n v="1"/>
    <n v="0"/>
    <n v="0"/>
    <n v="1"/>
    <n v="0"/>
    <n v="0"/>
    <n v="0"/>
    <n v="1"/>
    <n v="0"/>
    <n v="0"/>
    <n v="0"/>
    <n v="1"/>
    <n v="5"/>
    <s v="ACESSO: FALTA AS COORDENADAS; RAMPA: 270352/7386363; AVANÇO CERCA: FALTA COORDENADAS; PIER FLUTUANTE: 270325/7386280; OUTROS( PONTOS DE ILUMINAÇÃO: 270352/7386363; BALANÇO: 270352/7386363; AREA PAVIMENTADA APROX. 60M²: 270352/7386358; MOVIMENTAÇÃO DE SOLO: 270337/7386320) PLANTAS ORNAMENTAIS: 270349/7386350"/>
  </r>
  <r>
    <s v="0048/26"/>
    <n v="10"/>
    <s v="DIREITA"/>
    <n v="0"/>
    <n v="0"/>
    <n v="0"/>
    <n v="1"/>
    <n v="0"/>
    <n v="0"/>
    <n v="1"/>
    <n v="0"/>
    <n v="0"/>
    <n v="0"/>
    <n v="0"/>
    <n v="0"/>
    <n v="0"/>
    <n v="0"/>
    <n v="0"/>
    <n v="4"/>
    <s v="PIER FLUTUANTE: 270641/7386303; RAMPA: 270376/7386349; OUTROS (POSTE ILUMINAÇÃO: 270336/7386306; AREA DE FOGUEIRA: 270328/7386305; TAMBORES: 270352/7386320; DECK: 270359/7386322)"/>
  </r>
  <r>
    <s v="0049/26"/>
    <n v="10"/>
    <s v="DIREITA"/>
    <n v="1"/>
    <n v="0"/>
    <n v="0"/>
    <n v="1"/>
    <n v="1"/>
    <n v="0"/>
    <n v="0"/>
    <n v="0"/>
    <n v="0"/>
    <n v="0"/>
    <n v="0"/>
    <n v="0"/>
    <n v="0"/>
    <n v="0"/>
    <n v="0"/>
    <n v="3"/>
    <s v="ACESSO: 270387/7386332; PIER FLUTUANTE: 270355/7386277; AREA DE LAZER: 270388/7386301; AREA COM GRAMADO: 270402/7386333; OUTROS (CAIXA DE INSPEÇÃO - EFLUENTE RESIDENCIAL: 270404/7386327; FOSSA DE EFLUENTE: 270399/7386315; AREA DE QUEIMA DE RESIDUOS: 270380/7386277)"/>
  </r>
  <r>
    <s v="0050/26"/>
    <n v="10"/>
    <s v="DIREITA"/>
    <n v="0"/>
    <n v="0"/>
    <n v="0"/>
    <n v="1"/>
    <n v="1"/>
    <n v="0"/>
    <n v="1"/>
    <n v="2"/>
    <n v="0"/>
    <n v="0"/>
    <n v="1"/>
    <n v="0"/>
    <n v="0"/>
    <n v="1"/>
    <n v="1"/>
    <n v="3"/>
    <s v="PIER FLUTUANTE: 270396/7386225; AREA DE LAZER: 270437/7386271; RAMPA: 270398/7386241; EMBARCAÇÃO: 270434/7386259; AVANÇO CERCA: 270380/7386272; CAPTAÇÃO AGUA: 270403/7386224;  OUTROS (ACUMULO DE MATERIAL LENHOSO: 270447/7386246 E 270474/7386225; PONTO DE ILUMINAÇÃO: 270445/7386245; PLANTIO - MILHO: 270477/7386212)"/>
  </r>
  <r>
    <s v="0051/26"/>
    <n v="10"/>
    <s v="DIREITA"/>
    <n v="0"/>
    <n v="0"/>
    <n v="0"/>
    <n v="1"/>
    <n v="1"/>
    <n v="0"/>
    <n v="1"/>
    <n v="0"/>
    <n v="0"/>
    <n v="0"/>
    <n v="1"/>
    <n v="0"/>
    <n v="0"/>
    <n v="0"/>
    <n v="0"/>
    <n v="1"/>
    <s v="RAMPA: 270526/7386238; PIER FLUTUANTE: 270542/7386209; AREA DE LAZER: 270524/7386247; AVAÇO CERCA: 270541/7386246; OUTROS (POÇO DE CAPTAÇÃO DESATIVADO: 270543/7386267"/>
  </r>
  <r>
    <s v="0052/26"/>
    <n v="11"/>
    <s v="DIREITA"/>
    <n v="0"/>
    <n v="0"/>
    <n v="0"/>
    <n v="0"/>
    <n v="0"/>
    <n v="0"/>
    <n v="0"/>
    <n v="0"/>
    <n v="0"/>
    <n v="0"/>
    <n v="1"/>
    <n v="0"/>
    <n v="0"/>
    <n v="1"/>
    <n v="1"/>
    <n v="0"/>
    <s v="CAPTAÇÃO DE ÁGUA: 270583/7386197; PLANTIO EXOTICA: 270600/738622"/>
  </r>
  <r>
    <s v="0053/26"/>
    <n v="11"/>
    <s v="DIREITA"/>
    <n v="0"/>
    <n v="0"/>
    <n v="0"/>
    <n v="0"/>
    <n v="0"/>
    <n v="0"/>
    <n v="0"/>
    <n v="0"/>
    <n v="0"/>
    <n v="0"/>
    <n v="0"/>
    <n v="0"/>
    <n v="0"/>
    <n v="0"/>
    <n v="0"/>
    <n v="0"/>
    <s v="AREA DE VEGETAÇÃO NATIVA: 270758/7386367 A 270679/7385618 "/>
  </r>
  <r>
    <s v="0054/26"/>
    <n v="11"/>
    <s v="DIREITA"/>
    <n v="1"/>
    <n v="0"/>
    <n v="0"/>
    <n v="0"/>
    <n v="0"/>
    <n v="0"/>
    <n v="1"/>
    <n v="1"/>
    <n v="0"/>
    <n v="0"/>
    <n v="0"/>
    <n v="0"/>
    <n v="0"/>
    <n v="0"/>
    <n v="0"/>
    <n v="0"/>
    <s v="ACESSO: 270849/7386400; RAMPA: 270847/7386389; EMBARCAÇÃO: 270826/7386381"/>
  </r>
  <r>
    <s v="0055/26"/>
    <n v="11"/>
    <s v="DIREITA"/>
    <n v="0"/>
    <n v="0"/>
    <n v="0"/>
    <n v="1"/>
    <n v="0"/>
    <n v="0"/>
    <n v="0"/>
    <n v="0"/>
    <n v="0"/>
    <n v="0"/>
    <n v="0"/>
    <n v="0"/>
    <n v="0"/>
    <n v="0"/>
    <n v="0"/>
    <n v="0"/>
    <s v="AREA DE VEGETAÇÃO NATIVA: 270873/7386319 "/>
  </r>
  <r>
    <s v="0056/26"/>
    <n v="11"/>
    <s v="DIREITA"/>
    <n v="0"/>
    <n v="0"/>
    <n v="0"/>
    <n v="1"/>
    <n v="0"/>
    <n v="0"/>
    <n v="1"/>
    <n v="0"/>
    <n v="0"/>
    <n v="0"/>
    <n v="1"/>
    <n v="1"/>
    <n v="0"/>
    <n v="1"/>
    <n v="0"/>
    <n v="2"/>
    <s v="PIER FLUTUANTE: 270993/7386342; RAMPA: 271009/7386359; CAPTAÇÃO DE AGUA: 270972/7386368; SUPRESSÃO VEGETAÇÃO: 270990/7386357; OUTROS( ILUMINAÇÃO: 271016/7386361; GALINHEIRO: 271016/7386356)"/>
  </r>
  <r>
    <s v="0057/26"/>
    <n v="11"/>
    <s v="DIREITA"/>
    <n v="1"/>
    <n v="0"/>
    <n v="0"/>
    <n v="0"/>
    <n v="0"/>
    <n v="1"/>
    <n v="1"/>
    <n v="1"/>
    <n v="0"/>
    <n v="0"/>
    <n v="0"/>
    <n v="1"/>
    <n v="0"/>
    <n v="0"/>
    <n v="0"/>
    <n v="0"/>
    <s v="ACESSO: 271438/7386429; PRAIA ARTIFICIAL: 271442/7386435; RAMPA: 271446/7386449; EMBARCAÇÃO: 271442/7386454; SUPRESSÃO VEGETAL: 271450/7386457"/>
  </r>
  <r>
    <s v="0058/26"/>
    <n v="11"/>
    <s v="DIREITA"/>
    <n v="0"/>
    <n v="0"/>
    <n v="0"/>
    <n v="1"/>
    <n v="0"/>
    <n v="0"/>
    <n v="0"/>
    <n v="0"/>
    <n v="0"/>
    <n v="0"/>
    <n v="0"/>
    <n v="0"/>
    <n v="0"/>
    <n v="0"/>
    <n v="0"/>
    <n v="0"/>
    <s v="PIER FLUTUANTE: 271038/7386317"/>
  </r>
  <r>
    <s v="0059/26"/>
    <n v="11"/>
    <s v="DIREITA"/>
    <n v="0"/>
    <n v="0"/>
    <n v="0"/>
    <n v="0"/>
    <n v="0"/>
    <n v="0"/>
    <n v="0"/>
    <n v="0"/>
    <n v="0"/>
    <n v="0"/>
    <n v="0"/>
    <n v="0"/>
    <n v="0"/>
    <n v="0"/>
    <n v="0"/>
    <n v="0"/>
    <s v="SEM INTERVENÇOES"/>
  </r>
  <r>
    <s v="0060/26"/>
    <n v="11"/>
    <s v="DIREITA"/>
    <n v="1"/>
    <n v="0"/>
    <n v="0"/>
    <n v="0"/>
    <n v="0"/>
    <n v="0"/>
    <n v="0"/>
    <n v="0"/>
    <n v="0"/>
    <n v="0"/>
    <n v="1"/>
    <n v="1"/>
    <n v="0"/>
    <n v="0"/>
    <n v="0"/>
    <n v="0"/>
    <s v="ACESSO: 271591/7386501; SUPRESSAO: 271608/7386523; PLANTIO EXOTICAS: 271588/7385510"/>
  </r>
  <r>
    <s v="0061/26"/>
    <n v="11"/>
    <s v="DIREITA"/>
    <n v="0"/>
    <n v="0"/>
    <n v="0"/>
    <n v="0"/>
    <n v="0"/>
    <n v="0"/>
    <n v="1"/>
    <n v="0"/>
    <n v="0"/>
    <n v="0"/>
    <n v="1"/>
    <n v="0"/>
    <n v="0"/>
    <n v="0"/>
    <n v="0"/>
    <n v="0"/>
    <s v="RAMPA: 271639/7386536;AVANÇO CERCA: 271008/7386522"/>
  </r>
  <r>
    <s v="0062/26"/>
    <n v="11"/>
    <s v="DIREITA"/>
    <n v="0"/>
    <n v="1"/>
    <n v="0"/>
    <n v="0"/>
    <n v="0"/>
    <n v="0"/>
    <n v="1"/>
    <n v="0"/>
    <n v="0"/>
    <n v="0"/>
    <n v="0"/>
    <n v="1"/>
    <n v="0"/>
    <n v="0"/>
    <n v="1"/>
    <n v="0"/>
    <s v="EDIFICACAO (MURO DE ARRIMO): 271654/7386550; RAMPA: 271651/7386562; SUPRESSAO VEGETAL: 271644/7386547"/>
  </r>
  <r>
    <s v="0063/26"/>
    <n v="11"/>
    <s v="DIREITA"/>
    <n v="1"/>
    <n v="0"/>
    <n v="0"/>
    <n v="0"/>
    <n v="1"/>
    <n v="0"/>
    <n v="1"/>
    <n v="0"/>
    <n v="0"/>
    <n v="0"/>
    <n v="0"/>
    <n v="1"/>
    <n v="0"/>
    <n v="0"/>
    <n v="1"/>
    <n v="4"/>
    <s v="ACESSO: 271696/7386602; AREA DE LAZER: 271679/7386580; RAMPA: 271740/7386607; SUPRESSAO: 271379/7386620; OUTROS(ENTULHOS: 271684/7386579; QUEIMA DE RESIDUOS: 271675/7386580; LANÇAMENTO DE EFLUENTE DOMESTICO: 272684/7386587; RESIDUOS EM TAMBOR: 271684/7386557)"/>
  </r>
  <r>
    <s v="0064/26"/>
    <n v="11"/>
    <s v="DIREITA"/>
    <n v="1"/>
    <n v="0"/>
    <n v="0"/>
    <n v="0"/>
    <n v="1"/>
    <n v="0"/>
    <n v="1"/>
    <n v="0"/>
    <n v="0"/>
    <n v="0"/>
    <n v="0"/>
    <n v="0"/>
    <n v="0"/>
    <n v="0"/>
    <n v="0"/>
    <n v="2"/>
    <s v="ACESSO: 271761/7388666; AREA DE LAZER: 271761/7386661; RAMPA: 271750/7386643; OUTROS(ENTULHOS: 271749; AREA QUEIMADA: 271751/7386656)"/>
  </r>
  <r>
    <s v="0065/26"/>
    <n v="11"/>
    <s v="DIREITA"/>
    <n v="0"/>
    <n v="0"/>
    <n v="0"/>
    <n v="0"/>
    <n v="0"/>
    <n v="0"/>
    <n v="0"/>
    <n v="0"/>
    <n v="0"/>
    <n v="0"/>
    <n v="1"/>
    <n v="0"/>
    <n v="0"/>
    <n v="0"/>
    <n v="0"/>
    <n v="0"/>
    <s v="AREA DE VEGETAÇÃO NATIVA; AVANÇO DE CERCA: 271781/7386697"/>
  </r>
  <r>
    <s v="0066/26"/>
    <n v="11"/>
    <s v="DIREITA"/>
    <n v="0"/>
    <n v="0"/>
    <n v="0"/>
    <n v="0"/>
    <n v="0"/>
    <n v="0"/>
    <n v="0"/>
    <n v="0"/>
    <n v="0"/>
    <n v="0"/>
    <n v="1"/>
    <n v="0"/>
    <n v="0"/>
    <n v="0"/>
    <n v="0"/>
    <n v="0"/>
    <s v="AVANÇO CERCA: 271780/7386703"/>
  </r>
  <r>
    <s v="0067/26"/>
    <n v="11"/>
    <s v="DIREITA"/>
    <n v="1"/>
    <n v="0"/>
    <n v="0"/>
    <n v="0"/>
    <n v="0"/>
    <n v="0"/>
    <n v="0"/>
    <n v="0"/>
    <n v="0"/>
    <n v="0"/>
    <n v="0"/>
    <n v="0"/>
    <n v="0"/>
    <n v="0"/>
    <n v="0"/>
    <n v="0"/>
    <s v="ACESSO: 271771/7386727"/>
  </r>
  <r>
    <s v="0068/26"/>
    <n v="11"/>
    <s v="DIREITA"/>
    <n v="1"/>
    <n v="0"/>
    <m/>
    <n v="0"/>
    <n v="0"/>
    <n v="0"/>
    <n v="0"/>
    <n v="0"/>
    <n v="0"/>
    <n v="0"/>
    <n v="1"/>
    <n v="0"/>
    <n v="0"/>
    <n v="0"/>
    <n v="0"/>
    <n v="1"/>
    <s v="ACESSO: 271788/7386750; AVANÇO: 271794/7386446; OUTROS(ARVORE CAÍDA: 271788/7386749)"/>
  </r>
  <r>
    <s v="0069/26"/>
    <n v="11"/>
    <s v="DIREITA"/>
    <n v="0"/>
    <n v="0"/>
    <n v="0"/>
    <n v="0"/>
    <n v="0"/>
    <n v="0"/>
    <n v="0"/>
    <n v="0"/>
    <n v="0"/>
    <n v="0"/>
    <n v="0"/>
    <n v="0"/>
    <n v="0"/>
    <n v="0"/>
    <n v="0"/>
    <n v="4"/>
    <s v="AREA 1 DE CAMPING: 271905/7386950; AREA 2 DE CAMPING: 271778/7386834; CHURRASQUEIRA: 271765/7386849; DESCARTE INADEQUADO DE RESIDUOS SOLIDOS: 271758/7386860"/>
  </r>
  <r>
    <s v="0070/26"/>
    <n v="11"/>
    <s v="DIREITA"/>
    <n v="0"/>
    <n v="0"/>
    <n v="0"/>
    <n v="0"/>
    <n v="0"/>
    <n v="0"/>
    <n v="0"/>
    <n v="0"/>
    <n v="0"/>
    <n v="0"/>
    <n v="1"/>
    <n v="1"/>
    <n v="0"/>
    <n v="0"/>
    <n v="1"/>
    <n v="0"/>
    <s v="AVANÇO DE CERCA: 271697/7386898; SUPRESSAO: 271690/7386892; PLANTIO EXOTICAS: 271686/7386887"/>
  </r>
  <r>
    <s v="0071/26"/>
    <n v="11"/>
    <s v="DIREITA"/>
    <n v="1"/>
    <n v="0"/>
    <n v="0"/>
    <n v="0"/>
    <n v="0"/>
    <n v="0"/>
    <n v="0"/>
    <n v="0"/>
    <n v="0"/>
    <n v="0"/>
    <n v="0"/>
    <n v="0"/>
    <n v="0"/>
    <n v="0"/>
    <n v="0"/>
    <n v="0"/>
    <s v="ACESSO: 271662/7386892"/>
  </r>
  <r>
    <s v="0072/26"/>
    <n v="11"/>
    <s v="DIREITA"/>
    <n v="0"/>
    <n v="0"/>
    <n v="0"/>
    <n v="0"/>
    <n v="0"/>
    <n v="0"/>
    <n v="0"/>
    <n v="0"/>
    <n v="0"/>
    <n v="1"/>
    <n v="1"/>
    <n v="0"/>
    <n v="0"/>
    <n v="0"/>
    <n v="0"/>
    <n v="0"/>
    <s v="AVANÇO DE CERCA: 271630/7386911; PASTAGEM: 271630/7386911"/>
  </r>
  <r>
    <s v="0073/26"/>
    <n v="11"/>
    <s v="DIREITA"/>
    <n v="0"/>
    <n v="0"/>
    <n v="0"/>
    <n v="0"/>
    <n v="0"/>
    <n v="0"/>
    <n v="0"/>
    <n v="0"/>
    <n v="0"/>
    <n v="1"/>
    <n v="1"/>
    <n v="0"/>
    <n v="0"/>
    <n v="0"/>
    <n v="1"/>
    <n v="1"/>
    <s v="PASTAGEM: 271594/7386936; CERCA: 271564/7386938; PLANTIO EXOTICA: 271621/7386921; OUTROS (DESCRATE DE RESIDUOS: 271612/7386925)"/>
  </r>
  <r>
    <s v="0074/26"/>
    <n v="11"/>
    <s v="DIREITA"/>
    <n v="0"/>
    <n v="0"/>
    <n v="0"/>
    <n v="0"/>
    <n v="1"/>
    <n v="0"/>
    <n v="0"/>
    <n v="0"/>
    <n v="0"/>
    <n v="0"/>
    <n v="0"/>
    <n v="0"/>
    <n v="0"/>
    <n v="1"/>
    <n v="1"/>
    <n v="0"/>
    <s v="AREA DE LAZER: 271545/7386942; PLANTIO DE EXOTICA: 271556/7386938; CAPTAÇÃO DE AGUA (POÇO ARTESIANO): 271529/7386949"/>
  </r>
  <r>
    <s v="0075/26"/>
    <n v="11"/>
    <s v="DIREITA"/>
    <n v="0"/>
    <n v="0"/>
    <n v="0"/>
    <n v="0"/>
    <n v="0"/>
    <n v="0"/>
    <n v="0"/>
    <n v="0"/>
    <n v="0"/>
    <n v="0"/>
    <n v="0"/>
    <n v="0"/>
    <n v="0"/>
    <n v="0"/>
    <n v="0"/>
    <n v="0"/>
    <s v="AREA SEM INTERVENÇAO"/>
  </r>
  <r>
    <s v="0076/26"/>
    <n v="11"/>
    <s v="DIREITA"/>
    <n v="0"/>
    <n v="0"/>
    <n v="0"/>
    <n v="1"/>
    <n v="1"/>
    <n v="0"/>
    <n v="1"/>
    <n v="2"/>
    <n v="0"/>
    <n v="0"/>
    <n v="1"/>
    <n v="0"/>
    <n v="0"/>
    <n v="0"/>
    <n v="0"/>
    <n v="1"/>
    <s v="PIER FLUTUANTE: 271613/7387049; AREA DE LAZER: 271549/7387062 E 271555/7387061; RAMPA: 271546/7387072; EMBARCAÇÃO: 271556/7387076 E 271617/7387045; AVANÇO CERCA: 271579/7387672; AREA DE VEGETAÇÃO NATIVA: 271572/7387049"/>
  </r>
  <r>
    <s v="0077/26"/>
    <n v="11"/>
    <s v="DIREITA"/>
    <n v="0"/>
    <n v="0"/>
    <n v="0"/>
    <n v="0"/>
    <n v="1"/>
    <n v="0"/>
    <n v="1"/>
    <n v="0"/>
    <n v="0"/>
    <n v="1"/>
    <n v="0"/>
    <n v="0"/>
    <n v="0"/>
    <n v="0"/>
    <n v="0"/>
    <n v="0"/>
    <s v="AREA DE LAZER: 271632/7387090; RAMPA: 271634/7387095"/>
  </r>
  <r>
    <s v="0078/26"/>
    <n v="11"/>
    <s v="DIREITA"/>
    <n v="0"/>
    <n v="0"/>
    <n v="0"/>
    <n v="0"/>
    <n v="0"/>
    <n v="0"/>
    <n v="0"/>
    <n v="0"/>
    <n v="0"/>
    <n v="0"/>
    <n v="0"/>
    <n v="0"/>
    <n v="0"/>
    <n v="0"/>
    <n v="0"/>
    <n v="0"/>
    <s v="AREA SEM INTERVENÇAO"/>
  </r>
  <r>
    <s v="0079/26"/>
    <n v="11"/>
    <s v="DIREITA"/>
    <n v="0"/>
    <n v="0"/>
    <n v="0"/>
    <n v="0"/>
    <n v="0"/>
    <n v="0"/>
    <n v="0"/>
    <n v="0"/>
    <n v="0"/>
    <n v="0"/>
    <n v="0"/>
    <n v="0"/>
    <n v="0"/>
    <n v="0"/>
    <n v="0"/>
    <n v="1"/>
    <s v="OUTROS ( AREA GRAMADA): 271809/7387262"/>
  </r>
  <r>
    <s v="0080/26"/>
    <n v="11"/>
    <s v="DIREITA"/>
    <n v="0"/>
    <n v="0"/>
    <n v="0"/>
    <n v="0"/>
    <n v="0"/>
    <n v="0"/>
    <n v="0"/>
    <n v="0"/>
    <n v="0"/>
    <n v="1"/>
    <n v="0"/>
    <n v="0"/>
    <n v="0"/>
    <n v="0"/>
    <n v="0"/>
    <n v="0"/>
    <s v="PASTAGEM: 271802/7387226"/>
  </r>
  <r>
    <s v="0081/26"/>
    <n v="11"/>
    <s v="DIREITA"/>
    <n v="0"/>
    <n v="0"/>
    <n v="0"/>
    <n v="0"/>
    <n v="0"/>
    <n v="0"/>
    <n v="0"/>
    <n v="0"/>
    <n v="0"/>
    <n v="1"/>
    <n v="1"/>
    <n v="0"/>
    <n v="0"/>
    <n v="0"/>
    <n v="0"/>
    <n v="0"/>
    <s v="AVANÇO CERCA: 271820/7387175"/>
  </r>
  <r>
    <s v="0082/26"/>
    <n v="11"/>
    <s v="DIREITA"/>
    <n v="0"/>
    <n v="1"/>
    <n v="0"/>
    <n v="0"/>
    <n v="0"/>
    <n v="0"/>
    <n v="0"/>
    <n v="0"/>
    <n v="0"/>
    <n v="0"/>
    <n v="1"/>
    <n v="0"/>
    <n v="0"/>
    <n v="0"/>
    <n v="0"/>
    <n v="0"/>
    <s v="EDIFICAÇÃO: 271784/7387149; AVANÇO CERCA: 271824/7381773"/>
  </r>
  <r>
    <s v="0083/26"/>
    <n v="11"/>
    <s v="DIREITA"/>
    <n v="1"/>
    <n v="0"/>
    <n v="0"/>
    <n v="0"/>
    <n v="0"/>
    <n v="0"/>
    <n v="0"/>
    <n v="0"/>
    <n v="1"/>
    <n v="0"/>
    <n v="0"/>
    <n v="0"/>
    <n v="0"/>
    <n v="0"/>
    <n v="0"/>
    <n v="3"/>
    <s v="ACESSO: 271798/7387087; LAVOURA: 271794/7387107; OUTROS (2 CONTAINER: 271789/7387119 E AREA DE TERRAPLENAGEM: 271798/7387087"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ACB30-A931-4795-BAED-441D5E9496B0}" name="Tabela dinâmica1" cacheId="25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18" firstHeaderRow="1" firstDataRow="1" firstDataCol="1"/>
  <pivotFields count="20"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-2"/>
  </rowFields>
  <row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rowItems>
  <colItems count="1">
    <i/>
  </colItems>
  <dataFields count="15">
    <dataField name="Soma de PÍER FIXO" fld="5" baseField="0" baseItem="0"/>
    <dataField name="Soma de PÍER FLUTUANTE" fld="6" baseField="0" baseItem="0"/>
    <dataField name="Soma de EDIFICAÇÃO" fld="4" baseField="0" baseItem="0"/>
    <dataField name="Soma de ÁREA DE LAZER" fld="7" baseField="0" baseItem="0"/>
    <dataField name="Soma de PRAIA ARTIFICIAL" fld="8" baseField="0" baseItem="0"/>
    <dataField name="Soma de RAMPA PARA EMBARCAÇÃO" fld="9" baseField="0" baseItem="0"/>
    <dataField name="Soma de EMBARCAÇÕES (UNID)" fld="10" baseField="0" baseItem="0"/>
    <dataField name="Soma de LAVOURA" fld="11" baseField="0" baseItem="0"/>
    <dataField name="Soma de PASTAGEM" fld="12" baseField="0" baseItem="0"/>
    <dataField name="Soma de AVANÇO DE CERCA" fld="13" baseField="0" baseItem="0"/>
    <dataField name="Soma de SUPRESSÃO VEGETAL" fld="14" baseField="0" baseItem="0"/>
    <dataField name="Soma de TANQUES REDE" fld="15" baseField="0" baseItem="0"/>
    <dataField name="Soma de CAPTAÇÃO DE ÁGUA" fld="16" baseField="0" baseItem="0"/>
    <dataField name="Soma de PLANTIO DE EXÓTICAS" fld="17" baseField="0" baseItem="0"/>
    <dataField name="Soma de OUTROS" fld="18" baseField="0" baseItem="0"/>
  </dataFields>
  <chartFormats count="1">
    <chartFormat chart="0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iclo_Monitoramento" displayName="Ciclo_Monitoramento" ref="A1:BA124" totalsRowShown="0" headerRowDxfId="78" dataDxfId="77" headerRowBorderDxfId="75" tableBorderDxfId="76">
  <autoFilter ref="A1:BA124" xr:uid="{00000000-0009-0000-0100-000001000000}"/>
  <tableColumns count="53">
    <tableColumn id="1" xr3:uid="{00000000-0010-0000-0000-000001000000}" name="NOTIFICAÇÃO" dataDxfId="74"/>
    <tableColumn id="2" xr3:uid="{00000000-0010-0000-0000-000002000000}" name="ID" dataDxfId="73"/>
    <tableColumn id="3" xr3:uid="{00000000-0010-0000-0000-000003000000}" name="SGT2" dataDxfId="72"/>
    <tableColumn id="4" xr3:uid="{00000000-0010-0000-0000-000004000000}" name="SGP" dataDxfId="71"/>
    <tableColumn id="33" xr3:uid="{32887B03-9AC2-4E7E-BA7F-83CF877B4BBB}" name="SETOR" dataDxfId="70"/>
    <tableColumn id="42" xr3:uid="{B1D6322C-75E2-4855-AA1D-3861D6D3936D}" name="MARGEM" dataDxfId="69"/>
    <tableColumn id="76" xr3:uid="{1676D832-31AD-4A8A-AA30-E581DC441A20}" name="MUNICÍPIO" dataDxfId="68"/>
    <tableColumn id="35" xr3:uid="{78DD4F5D-B6EB-4966-8353-8172270D5CD9}" name="NÚMERO CONFRONTANTE " dataDxfId="67"/>
    <tableColumn id="36" xr3:uid="{20A5DFCF-C99F-493C-8F33-90644A369431}" name="PROPRIETÁRIO" dataDxfId="66"/>
    <tableColumn id="37" xr3:uid="{96759A6B-CCAB-4093-B076-EED8DC0966E9}" name="LOTEAMENTO/ CONDOMINIO " dataDxfId="65"/>
    <tableColumn id="21" xr3:uid="{00000000-0010-0000-0000-000015000000}" name="TIPO DE INSPEÇÃO" dataDxfId="64"/>
    <tableColumn id="34" xr3:uid="{13A3F5C8-7D5F-426A-B67E-FFA0D9CF7FB0}" name="DATA " dataDxfId="63"/>
    <tableColumn id="73" xr3:uid="{A17B2EB5-747A-48DF-98C2-EA41BCEBE682}" name="COMODATÁRIO" dataDxfId="62"/>
    <tableColumn id="74" xr3:uid="{C5F4AA7A-0FC6-45A3-AB5A-9B8D8816F14E}" name="CONTRATO VIGENTE" dataDxfId="61"/>
    <tableColumn id="45" xr3:uid="{94A447E1-5B50-47D9-9465-C917B3F06B5A}" name="ZONA" dataDxfId="60"/>
    <tableColumn id="38" xr3:uid="{2F16A888-7044-43AB-BB97-54732F73D23B}" name="COORDENADA UTM (E) INICIAL" dataDxfId="59"/>
    <tableColumn id="39" xr3:uid="{2604EAAD-795A-4A0F-9C16-87B57D887EB5}" name="COORDENADA UTM (S) INICIAL " dataDxfId="58"/>
    <tableColumn id="40" xr3:uid="{49159C11-0970-4278-8A47-C49404D5FFFA}" name="COORDENADA UTM (E) FINAL" dataDxfId="57"/>
    <tableColumn id="41" xr3:uid="{1E121CE5-3100-4F2A-8527-8A190C62FF5D}" name="COORDENADA UTM (S) FINAL" dataDxfId="56"/>
    <tableColumn id="7" xr3:uid="{00000000-0010-0000-0000-000007000000}" name="DETECCÇÃO" dataDxfId="55"/>
    <tableColumn id="17" xr3:uid="{00000000-0010-0000-0000-000011000000}" name="Ciclo" dataDxfId="54"/>
    <tableColumn id="18" xr3:uid="{00000000-0010-0000-0000-000012000000}" name="Data Ciclo" dataDxfId="53"/>
    <tableColumn id="23" xr3:uid="{00000000-0010-0000-0000-000017000000}" name="Identificado Responsável?" dataDxfId="52"/>
    <tableColumn id="24" xr3:uid="{00000000-0010-0000-0000-000018000000}" name="Ação para Identificar Responsável" dataDxfId="51"/>
    <tableColumn id="25" xr3:uid="{00000000-0010-0000-0000-000019000000}" name="Status da ação para identificar responsável" dataDxfId="50"/>
    <tableColumn id="26" xr3:uid="{00000000-0010-0000-0000-00001A000000}" name="TIPO DE INTERVENÇÃO" dataDxfId="49"/>
    <tableColumn id="44" xr3:uid="{47447F69-3BC0-487C-9C43-AB75F80165DE}" name="INTERVENÇÃO" dataDxfId="48"/>
    <tableColumn id="8" xr3:uid="{00000000-0010-0000-0000-000008000000}" name="DETALHAMENTO DA INTERVENÇÃO" dataDxfId="47"/>
    <tableColumn id="27" xr3:uid="{00000000-0010-0000-0000-00001B000000}" name="EMISSÃO DE NOTIFICAÇÃO?" dataDxfId="46"/>
    <tableColumn id="19" xr3:uid="{00000000-0010-0000-0000-000013000000}" name="Reincidente?" dataDxfId="45"/>
    <tableColumn id="28" xr3:uid="{00000000-0010-0000-0000-00001C000000}" name="Objetivo da Notificação" dataDxfId="44"/>
    <tableColumn id="29" xr3:uid="{00000000-0010-0000-0000-00001D000000}" name="Plano de Ação" dataDxfId="43"/>
    <tableColumn id="5" xr3:uid="{5EFB2283-09D0-4A47-AF3E-1B7FB5A35CFD}" name="AÇÃO" dataDxfId="42"/>
    <tableColumn id="15" xr3:uid="{00000000-0010-0000-0000-00000F000000}" name="STATUS" dataDxfId="41"/>
    <tableColumn id="46" xr3:uid="{6019AF3A-E48F-4DCD-9F0B-3BD41FB342A6}" name="EVIDÊNCIA FOTOGRÁFICA" dataDxfId="40"/>
    <tableColumn id="47" xr3:uid="{77B27CED-92B0-4F5D-A7DC-646FC1D1AA2A}" name="RELATÓRIO WORD" dataDxfId="39"/>
    <tableColumn id="62" xr3:uid="{5C27B4B4-E63A-4F5F-99DE-1104023DB71B}" name="Coluna8" dataDxfId="38"/>
    <tableColumn id="56" xr3:uid="{1F811775-FAB1-4F76-880F-66924EAD431F}" name="Coluna9" dataDxfId="37"/>
    <tableColumn id="57" xr3:uid="{719C9885-D5EB-4EDF-A39D-752963346C43}" name="Coluna10" dataDxfId="36"/>
    <tableColumn id="58" xr3:uid="{EE86B41B-C30C-4C84-AC6D-F30C57C0E981}" name="Coluna11" dataDxfId="35"/>
    <tableColumn id="59" xr3:uid="{FEEFA822-56E7-41C2-925E-8503848C69C8}" name="Coluna12" dataDxfId="34"/>
    <tableColumn id="60" xr3:uid="{383DB1FB-BA77-49E6-9EEA-D18D926F4B05}" name="Coluna13" dataDxfId="33"/>
    <tableColumn id="61" xr3:uid="{4445820D-3D78-4635-ABAC-BDA710FB6FD5}" name="Coluna14" dataDxfId="32"/>
    <tableColumn id="52" xr3:uid="{F1D4B232-E2A1-4668-9F55-65DD3A13EF21}" name="Coluna15" dataDxfId="31"/>
    <tableColumn id="53" xr3:uid="{B7524177-B912-40EC-9D2C-4EF2ED48D099}" name="Coluna16" dataDxfId="30"/>
    <tableColumn id="54" xr3:uid="{3870E072-3C61-4E56-98C7-6D1897567A45}" name="Coluna17" dataDxfId="29"/>
    <tableColumn id="55" xr3:uid="{E21F8609-F141-4722-9636-1B04A3192547}" name="Coluna18" dataDxfId="28"/>
    <tableColumn id="51" xr3:uid="{44B93107-DBAE-4E6E-AFCA-46B28E8AC071}" name="Coluna19" dataDxfId="27"/>
    <tableColumn id="50" xr3:uid="{699358C1-92CE-4669-884E-CA6C960C3D5F}" name="Coluna20" dataDxfId="26"/>
    <tableColumn id="49" xr3:uid="{133001AF-3A9F-4595-B18A-0413FAC512D6}" name="Coluna21" dataDxfId="25"/>
    <tableColumn id="48" xr3:uid="{BDFDE4A6-E55F-4D3D-965D-662F605D1183}" name="Coluna22" dataDxfId="24"/>
    <tableColumn id="13" xr3:uid="{00000000-0010-0000-0000-00000D000000}" name="Coluna23" dataDxfId="23"/>
    <tableColumn id="14" xr3:uid="{00000000-0010-0000-0000-00000E000000}" name="Coluna24" dataDxfId="22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8908EF-3BB4-499F-8FD6-8978E49D56E4}" name="Tabela4" displayName="Tabela4" ref="A1:T107" totalsRowShown="0" headerRowDxfId="21" dataDxfId="20">
  <autoFilter ref="A1:T107" xr:uid="{BF8908EF-3BB4-499F-8FD6-8978E49D56E4}"/>
  <tableColumns count="20">
    <tableColumn id="1" xr3:uid="{8EC57757-1CA6-41DA-9F01-A59F941AC60C}" name="NÚMERO CONFRONTANTE" dataDxfId="19"/>
    <tableColumn id="2" xr3:uid="{51A39208-9710-4DED-82A5-BF7AC77A60B5}" name="SETOR" dataDxfId="18"/>
    <tableColumn id="3" xr3:uid="{28E0C7C0-381E-4F9E-8169-A53DF024E348}" name="MARGEM" dataDxfId="17"/>
    <tableColumn id="4" xr3:uid="{B5E89904-E892-4730-893A-F3375CEECA84}" name="ACESSO" dataDxfId="16"/>
    <tableColumn id="5" xr3:uid="{08F9538A-788F-4990-A25C-FFEBC4727DBB}" name="EDIFICAÇÃO" dataDxfId="15"/>
    <tableColumn id="6" xr3:uid="{753F6C1E-6DBF-433C-BA6F-1A94C47C9F6A}" name="PÍER FIXO" dataDxfId="14"/>
    <tableColumn id="7" xr3:uid="{EB53CC44-8F6A-4345-B7AA-8A6C95489415}" name="PÍER FLUTUANTE" dataDxfId="13"/>
    <tableColumn id="8" xr3:uid="{C1C5F64F-36B9-4D32-B485-95BCE3801A46}" name="ÁREA DE LAZER" dataDxfId="12"/>
    <tableColumn id="9" xr3:uid="{80291299-7DD1-4279-94FD-0026180B1C2B}" name="PRAIA ARTIFICIAL" dataDxfId="11"/>
    <tableColumn id="10" xr3:uid="{B6B59B1C-D5C6-478C-A536-7DCAFBF92BB9}" name="RAMPA PARA EMBARCAÇÃO" dataDxfId="10"/>
    <tableColumn id="11" xr3:uid="{AC8C2BD5-639A-4C58-BD71-A631DAC87914}" name="EMBARCAÇÕES (UNID)" dataDxfId="9"/>
    <tableColumn id="12" xr3:uid="{1141E122-9773-4DD7-BD47-5BD5888E53A2}" name="LAVOURA" dataDxfId="8"/>
    <tableColumn id="13" xr3:uid="{D9D93CE0-32AD-4214-AD3A-D573891C9DFA}" name="PASTAGEM" dataDxfId="7"/>
    <tableColumn id="14" xr3:uid="{CC467140-20F5-4BB8-A501-2759E420FC8C}" name="AVANÇO DE CERCA" dataDxfId="6"/>
    <tableColumn id="15" xr3:uid="{8E3540F0-6ECA-4168-9B98-EA80E96B368F}" name="SUPRESSÃO VEGETAL" dataDxfId="5"/>
    <tableColumn id="16" xr3:uid="{DFD82F0B-6FF8-4AD4-923E-4090793CBC63}" name="TANQUES REDE" dataDxfId="4"/>
    <tableColumn id="17" xr3:uid="{7E49DF5A-8D5B-4B9E-9829-8D0C1A986C0C}" name="CAPTAÇÃO DE ÁGUA" dataDxfId="3"/>
    <tableColumn id="18" xr3:uid="{F432EA74-0AAE-46D8-A889-F0D8F53CE1CF}" name="PLANTIO DE EXÓTICAS" dataDxfId="2"/>
    <tableColumn id="19" xr3:uid="{DC48544E-EA2D-4BDD-81A6-9B16CDD2364C}" name="OUTROS" dataDxfId="1"/>
    <tableColumn id="20" xr3:uid="{B071CFD2-0A04-4165-9890-C67A14DEEB1D}" name="DESCRIÇÃO OUTRO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Integração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26"/>
  <sheetViews>
    <sheetView tabSelected="1" zoomScale="102" zoomScaleNormal="102" workbookViewId="0">
      <pane xSplit="1" ySplit="1" topLeftCell="T2" activePane="bottomRight" state="frozen"/>
      <selection pane="bottomRight" activeCell="AC88" sqref="AB88:AC101"/>
      <selection pane="bottomLeft" activeCell="A2" sqref="A2"/>
      <selection pane="topRight" activeCell="B1" sqref="B1"/>
    </sheetView>
  </sheetViews>
  <sheetFormatPr defaultColWidth="0" defaultRowHeight="14.45"/>
  <cols>
    <col min="1" max="1" width="14.7109375" style="76" customWidth="1"/>
    <col min="2" max="2" width="7.42578125" style="30" hidden="1" customWidth="1"/>
    <col min="3" max="3" width="9.5703125" style="30" hidden="1" customWidth="1"/>
    <col min="4" max="4" width="15.85546875" style="30" hidden="1" customWidth="1"/>
    <col min="5" max="8" width="15.85546875" style="30" customWidth="1"/>
    <col min="9" max="9" width="18.28515625" style="55" bestFit="1" customWidth="1"/>
    <col min="10" max="10" width="15.85546875" style="30" customWidth="1"/>
    <col min="11" max="11" width="16.140625" style="30" customWidth="1"/>
    <col min="12" max="12" width="11.5703125" style="30" customWidth="1"/>
    <col min="13" max="13" width="14.85546875" style="30" customWidth="1"/>
    <col min="14" max="14" width="12.7109375" style="30" customWidth="1"/>
    <col min="15" max="15" width="6" style="30" customWidth="1"/>
    <col min="16" max="16" width="20.28515625" style="30" customWidth="1"/>
    <col min="17" max="17" width="19.5703125" style="30" customWidth="1"/>
    <col min="18" max="19" width="23.140625" style="30" customWidth="1"/>
    <col min="20" max="20" width="16.7109375" style="30" bestFit="1" customWidth="1"/>
    <col min="21" max="21" width="5.42578125" style="30" hidden="1" customWidth="1"/>
    <col min="22" max="22" width="8.28515625" style="30" hidden="1" customWidth="1"/>
    <col min="23" max="23" width="13.140625" style="30" hidden="1" customWidth="1"/>
    <col min="24" max="24" width="26.85546875" style="30" hidden="1" customWidth="1"/>
    <col min="25" max="25" width="18.42578125" style="30" hidden="1" customWidth="1"/>
    <col min="26" max="27" width="20.42578125" style="56" customWidth="1"/>
    <col min="28" max="28" width="29.7109375" style="55" customWidth="1"/>
    <col min="29" max="29" width="19.42578125" style="30" customWidth="1"/>
    <col min="30" max="30" width="16.5703125" style="30" hidden="1" customWidth="1"/>
    <col min="31" max="31" width="30.5703125" style="30" hidden="1" customWidth="1"/>
    <col min="32" max="32" width="38.42578125" style="30" hidden="1" customWidth="1"/>
    <col min="33" max="33" width="16.28515625" style="30" customWidth="1"/>
    <col min="34" max="34" width="15.42578125" style="56" bestFit="1" customWidth="1"/>
    <col min="35" max="35" width="18.28515625" style="56" customWidth="1"/>
    <col min="36" max="36" width="17.85546875" style="56" customWidth="1"/>
    <col min="37" max="37" width="27.85546875" style="29" hidden="1" customWidth="1"/>
    <col min="38" max="38" width="21.85546875" style="30" hidden="1" customWidth="1"/>
    <col min="39" max="39" width="28.5703125" style="31" hidden="1" customWidth="1"/>
    <col min="40" max="40" width="16.140625" style="31" hidden="1" customWidth="1"/>
    <col min="41" max="41" width="21.85546875" style="31" hidden="1" customWidth="1"/>
    <col min="42" max="42" width="55.5703125" style="31" hidden="1" customWidth="1"/>
    <col min="43" max="43" width="15.85546875" style="32" hidden="1" customWidth="1"/>
    <col min="44" max="44" width="15.140625" style="34" hidden="1" customWidth="1"/>
    <col min="45" max="56" width="9.140625" style="34" hidden="1" customWidth="1"/>
    <col min="57" max="80" width="9.140625" style="33" hidden="1" customWidth="1"/>
    <col min="81" max="16384" width="8.85546875" style="33" hidden="1"/>
  </cols>
  <sheetData>
    <row r="1" spans="1:66" s="14" customFormat="1" ht="45.95" customHeight="1" thickBot="1">
      <c r="A1" s="7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1" t="s">
        <v>51</v>
      </c>
      <c r="BA1" s="1" t="s">
        <v>52</v>
      </c>
      <c r="BB1" s="8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</row>
    <row r="2" spans="1:66" s="27" customFormat="1" ht="43.15">
      <c r="A2" s="75" t="s">
        <v>53</v>
      </c>
      <c r="B2" s="15"/>
      <c r="C2" s="16"/>
      <c r="D2" s="16"/>
      <c r="E2" s="16" t="s">
        <v>54</v>
      </c>
      <c r="F2" s="16" t="s">
        <v>55</v>
      </c>
      <c r="G2" s="16" t="s">
        <v>56</v>
      </c>
      <c r="H2" s="16" t="s">
        <v>53</v>
      </c>
      <c r="I2" s="17" t="s">
        <v>57</v>
      </c>
      <c r="J2" s="16" t="s">
        <v>58</v>
      </c>
      <c r="K2" s="18" t="s">
        <v>59</v>
      </c>
      <c r="L2" s="19">
        <v>46029</v>
      </c>
      <c r="M2" s="19" t="s">
        <v>60</v>
      </c>
      <c r="N2" s="19" t="s">
        <v>60</v>
      </c>
      <c r="O2" s="19" t="s">
        <v>61</v>
      </c>
      <c r="P2" s="16">
        <v>255490</v>
      </c>
      <c r="Q2" s="16">
        <v>7386829</v>
      </c>
      <c r="R2" s="16">
        <v>255485</v>
      </c>
      <c r="S2" s="16">
        <v>7386825</v>
      </c>
      <c r="T2" s="18" t="s">
        <v>62</v>
      </c>
      <c r="U2" s="16"/>
      <c r="V2" s="20"/>
      <c r="W2" s="11"/>
      <c r="X2" s="11"/>
      <c r="Y2" s="21"/>
      <c r="Z2" s="11" t="s">
        <v>58</v>
      </c>
      <c r="AA2" s="11" t="s">
        <v>63</v>
      </c>
      <c r="AB2" s="22" t="s">
        <v>64</v>
      </c>
      <c r="AC2" s="11" t="s">
        <v>60</v>
      </c>
      <c r="AD2" s="11"/>
      <c r="AE2" s="11"/>
      <c r="AF2" s="11"/>
      <c r="AG2" s="11" t="s">
        <v>65</v>
      </c>
      <c r="AH2" s="11" t="s">
        <v>66</v>
      </c>
      <c r="AI2" s="21" t="s">
        <v>67</v>
      </c>
      <c r="AJ2" s="21" t="s">
        <v>66</v>
      </c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11" t="s">
        <v>68</v>
      </c>
      <c r="BB2" s="23"/>
      <c r="BC2" s="24"/>
      <c r="BD2" s="25"/>
      <c r="BE2" s="25"/>
      <c r="BF2" s="25"/>
      <c r="BG2" s="25"/>
      <c r="BH2" s="26"/>
    </row>
    <row r="3" spans="1:66" ht="57.6">
      <c r="A3" s="75" t="s">
        <v>69</v>
      </c>
      <c r="B3" s="15"/>
      <c r="C3" s="16"/>
      <c r="D3" s="16"/>
      <c r="E3" s="16">
        <v>4</v>
      </c>
      <c r="F3" s="16" t="s">
        <v>55</v>
      </c>
      <c r="G3" s="16" t="s">
        <v>56</v>
      </c>
      <c r="H3" s="16" t="s">
        <v>69</v>
      </c>
      <c r="I3" s="17" t="s">
        <v>70</v>
      </c>
      <c r="J3" s="16" t="s">
        <v>58</v>
      </c>
      <c r="K3" s="18" t="s">
        <v>59</v>
      </c>
      <c r="L3" s="28">
        <v>46029</v>
      </c>
      <c r="M3" s="19" t="s">
        <v>60</v>
      </c>
      <c r="N3" s="19" t="s">
        <v>60</v>
      </c>
      <c r="O3" s="19" t="s">
        <v>61</v>
      </c>
      <c r="P3" s="16">
        <v>261808</v>
      </c>
      <c r="Q3" s="16">
        <v>7387743</v>
      </c>
      <c r="R3" s="16">
        <v>262624</v>
      </c>
      <c r="S3" s="16">
        <v>7387819</v>
      </c>
      <c r="T3" s="18" t="s">
        <v>62</v>
      </c>
      <c r="U3" s="16"/>
      <c r="V3" s="20"/>
      <c r="W3" s="11"/>
      <c r="X3" s="11"/>
      <c r="Y3" s="21"/>
      <c r="Z3" s="11" t="s">
        <v>71</v>
      </c>
      <c r="AA3" s="22" t="s">
        <v>72</v>
      </c>
      <c r="AB3" s="22" t="s">
        <v>73</v>
      </c>
      <c r="AC3" s="11" t="s">
        <v>60</v>
      </c>
      <c r="AD3" s="11"/>
      <c r="AE3" s="11"/>
      <c r="AF3" s="11"/>
      <c r="AG3" s="11"/>
      <c r="AH3" s="11" t="s">
        <v>58</v>
      </c>
      <c r="AI3" s="21" t="s">
        <v>67</v>
      </c>
      <c r="AJ3" s="21" t="s">
        <v>66</v>
      </c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11" t="s">
        <v>74</v>
      </c>
      <c r="BB3" s="29"/>
      <c r="BC3" s="30"/>
      <c r="BD3" s="31"/>
      <c r="BE3" s="31"/>
      <c r="BF3" s="31"/>
      <c r="BG3" s="31"/>
      <c r="BH3" s="32"/>
    </row>
    <row r="4" spans="1:66" ht="43.15">
      <c r="A4" s="75" t="s">
        <v>75</v>
      </c>
      <c r="B4" s="15"/>
      <c r="C4" s="16"/>
      <c r="D4" s="16"/>
      <c r="E4" s="16">
        <v>5</v>
      </c>
      <c r="F4" s="16" t="s">
        <v>55</v>
      </c>
      <c r="G4" s="16" t="s">
        <v>56</v>
      </c>
      <c r="H4" s="16" t="s">
        <v>75</v>
      </c>
      <c r="I4" s="17" t="s">
        <v>57</v>
      </c>
      <c r="J4" s="16" t="s">
        <v>58</v>
      </c>
      <c r="K4" s="18" t="s">
        <v>59</v>
      </c>
      <c r="L4" s="28">
        <v>46029</v>
      </c>
      <c r="M4" s="19" t="s">
        <v>60</v>
      </c>
      <c r="N4" s="19" t="s">
        <v>60</v>
      </c>
      <c r="O4" s="19" t="s">
        <v>61</v>
      </c>
      <c r="P4" s="16">
        <v>262625</v>
      </c>
      <c r="Q4" s="16">
        <v>7387811</v>
      </c>
      <c r="R4" s="16">
        <v>264540</v>
      </c>
      <c r="S4" s="16">
        <v>7388419</v>
      </c>
      <c r="T4" s="18" t="s">
        <v>62</v>
      </c>
      <c r="U4" s="16"/>
      <c r="V4" s="20"/>
      <c r="W4" s="11"/>
      <c r="X4" s="11"/>
      <c r="Y4" s="21"/>
      <c r="Z4" s="11" t="s">
        <v>76</v>
      </c>
      <c r="AA4" s="11" t="s">
        <v>77</v>
      </c>
      <c r="AB4" s="22" t="s">
        <v>78</v>
      </c>
      <c r="AC4" s="11" t="s">
        <v>60</v>
      </c>
      <c r="AD4" s="11"/>
      <c r="AE4" s="11"/>
      <c r="AF4" s="11"/>
      <c r="AG4" s="11"/>
      <c r="AH4" s="11" t="s">
        <v>58</v>
      </c>
      <c r="AI4" s="21" t="s">
        <v>67</v>
      </c>
      <c r="AJ4" s="21" t="s">
        <v>66</v>
      </c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11" t="s">
        <v>74</v>
      </c>
      <c r="BB4" s="29"/>
      <c r="BC4" s="30"/>
      <c r="BD4" s="31"/>
      <c r="BE4" s="31"/>
      <c r="BF4" s="31"/>
      <c r="BG4" s="31"/>
      <c r="BH4" s="32"/>
      <c r="BI4" s="34"/>
      <c r="BJ4" s="34"/>
      <c r="BK4" s="34"/>
      <c r="BL4" s="34"/>
      <c r="BM4" s="34"/>
      <c r="BN4" s="34"/>
    </row>
    <row r="5" spans="1:66" ht="57.6">
      <c r="A5" s="75" t="s">
        <v>79</v>
      </c>
      <c r="B5" s="35"/>
      <c r="C5" s="36"/>
      <c r="D5" s="36"/>
      <c r="E5" s="16">
        <v>6</v>
      </c>
      <c r="F5" s="16" t="s">
        <v>55</v>
      </c>
      <c r="G5" s="16" t="s">
        <v>80</v>
      </c>
      <c r="H5" s="16" t="s">
        <v>79</v>
      </c>
      <c r="I5" s="17" t="s">
        <v>70</v>
      </c>
      <c r="J5" s="16" t="s">
        <v>58</v>
      </c>
      <c r="K5" s="18" t="s">
        <v>59</v>
      </c>
      <c r="L5" s="28">
        <v>46029</v>
      </c>
      <c r="M5" s="19" t="s">
        <v>60</v>
      </c>
      <c r="N5" s="19" t="s">
        <v>60</v>
      </c>
      <c r="O5" s="19" t="s">
        <v>61</v>
      </c>
      <c r="P5" s="16">
        <v>264538</v>
      </c>
      <c r="Q5" s="16">
        <v>7388420</v>
      </c>
      <c r="R5" s="16">
        <v>264315</v>
      </c>
      <c r="S5" s="16">
        <v>7388554</v>
      </c>
      <c r="T5" s="18" t="s">
        <v>62</v>
      </c>
      <c r="U5" s="16"/>
      <c r="V5" s="20"/>
      <c r="W5" s="11"/>
      <c r="X5" s="11"/>
      <c r="Y5" s="21"/>
      <c r="Z5" s="11" t="s">
        <v>58</v>
      </c>
      <c r="AA5" s="11" t="s">
        <v>63</v>
      </c>
      <c r="AB5" s="22" t="s">
        <v>81</v>
      </c>
      <c r="AC5" s="11" t="s">
        <v>60</v>
      </c>
      <c r="AD5" s="11"/>
      <c r="AE5" s="11"/>
      <c r="AF5" s="11"/>
      <c r="AG5" s="11"/>
      <c r="AH5" s="11" t="s">
        <v>58</v>
      </c>
      <c r="AI5" s="21" t="s">
        <v>67</v>
      </c>
      <c r="AJ5" s="21" t="s">
        <v>66</v>
      </c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11" t="s">
        <v>74</v>
      </c>
      <c r="BB5" s="29"/>
      <c r="BC5" s="30"/>
      <c r="BD5" s="31"/>
      <c r="BE5" s="31"/>
      <c r="BF5" s="31"/>
      <c r="BG5" s="31"/>
      <c r="BH5" s="32"/>
      <c r="BI5" s="34"/>
      <c r="BJ5" s="34"/>
      <c r="BK5" s="34"/>
      <c r="BL5" s="34"/>
      <c r="BM5" s="34"/>
      <c r="BN5" s="34"/>
    </row>
    <row r="6" spans="1:66" ht="43.15">
      <c r="A6" s="75" t="s">
        <v>82</v>
      </c>
      <c r="B6" s="37"/>
      <c r="C6" s="38"/>
      <c r="D6" s="38"/>
      <c r="E6" s="18">
        <v>6</v>
      </c>
      <c r="F6" s="16" t="s">
        <v>55</v>
      </c>
      <c r="G6" s="16" t="s">
        <v>80</v>
      </c>
      <c r="H6" s="18" t="s">
        <v>82</v>
      </c>
      <c r="I6" s="39" t="s">
        <v>57</v>
      </c>
      <c r="J6" s="18" t="s">
        <v>58</v>
      </c>
      <c r="K6" s="18" t="s">
        <v>59</v>
      </c>
      <c r="L6" s="28">
        <v>46029</v>
      </c>
      <c r="M6" s="19" t="s">
        <v>60</v>
      </c>
      <c r="N6" s="19" t="s">
        <v>60</v>
      </c>
      <c r="O6" s="19" t="s">
        <v>61</v>
      </c>
      <c r="P6" s="18">
        <v>264314</v>
      </c>
      <c r="Q6" s="18">
        <v>7388555</v>
      </c>
      <c r="R6" s="18">
        <v>266243</v>
      </c>
      <c r="S6" s="18">
        <v>738857</v>
      </c>
      <c r="T6" s="18" t="s">
        <v>62</v>
      </c>
      <c r="U6" s="16"/>
      <c r="V6" s="20"/>
      <c r="W6" s="40"/>
      <c r="X6" s="40"/>
      <c r="Y6" s="41"/>
      <c r="Z6" s="11" t="s">
        <v>58</v>
      </c>
      <c r="AA6" s="11" t="s">
        <v>63</v>
      </c>
      <c r="AB6" s="42" t="s">
        <v>64</v>
      </c>
      <c r="AC6" s="40" t="s">
        <v>60</v>
      </c>
      <c r="AD6" s="11"/>
      <c r="AE6" s="40"/>
      <c r="AF6" s="40"/>
      <c r="AG6" s="40"/>
      <c r="AH6" s="40" t="s">
        <v>58</v>
      </c>
      <c r="AI6" s="41" t="s">
        <v>67</v>
      </c>
      <c r="AJ6" s="41" t="s">
        <v>66</v>
      </c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11" t="s">
        <v>74</v>
      </c>
      <c r="BB6" s="29"/>
      <c r="BC6" s="30"/>
      <c r="BD6" s="31"/>
      <c r="BE6" s="31"/>
      <c r="BF6" s="31"/>
      <c r="BG6" s="31"/>
      <c r="BH6" s="32"/>
      <c r="BI6" s="34"/>
      <c r="BJ6" s="34"/>
      <c r="BK6" s="34"/>
      <c r="BL6" s="34"/>
      <c r="BM6" s="34"/>
      <c r="BN6" s="34"/>
    </row>
    <row r="7" spans="1:66" ht="28.9">
      <c r="A7" s="75" t="s">
        <v>83</v>
      </c>
      <c r="B7" s="43"/>
      <c r="C7" s="18"/>
      <c r="D7" s="18"/>
      <c r="E7" s="18">
        <v>6</v>
      </c>
      <c r="F7" s="16" t="s">
        <v>55</v>
      </c>
      <c r="G7" s="16" t="s">
        <v>80</v>
      </c>
      <c r="H7" s="18" t="s">
        <v>83</v>
      </c>
      <c r="I7" s="39" t="s">
        <v>84</v>
      </c>
      <c r="J7" s="18" t="s">
        <v>58</v>
      </c>
      <c r="K7" s="18" t="s">
        <v>59</v>
      </c>
      <c r="L7" s="28">
        <v>46029</v>
      </c>
      <c r="M7" s="19" t="s">
        <v>60</v>
      </c>
      <c r="N7" s="19" t="s">
        <v>60</v>
      </c>
      <c r="O7" s="19" t="s">
        <v>61</v>
      </c>
      <c r="P7" s="18">
        <v>266173</v>
      </c>
      <c r="Q7" s="18">
        <v>7388927</v>
      </c>
      <c r="R7" s="18">
        <v>266179</v>
      </c>
      <c r="S7" s="18">
        <v>7388933</v>
      </c>
      <c r="T7" s="18" t="s">
        <v>62</v>
      </c>
      <c r="U7" s="16"/>
      <c r="V7" s="20"/>
      <c r="W7" s="40"/>
      <c r="X7" s="40"/>
      <c r="Y7" s="41"/>
      <c r="Z7" s="11" t="s">
        <v>58</v>
      </c>
      <c r="AA7" s="11" t="s">
        <v>63</v>
      </c>
      <c r="AB7" s="42" t="s">
        <v>64</v>
      </c>
      <c r="AC7" s="40" t="s">
        <v>60</v>
      </c>
      <c r="AD7" s="11"/>
      <c r="AE7" s="40"/>
      <c r="AF7" s="40"/>
      <c r="AG7" s="40"/>
      <c r="AH7" s="40" t="s">
        <v>58</v>
      </c>
      <c r="AI7" s="41" t="s">
        <v>67</v>
      </c>
      <c r="AJ7" s="41" t="s">
        <v>66</v>
      </c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11" t="s">
        <v>74</v>
      </c>
      <c r="BB7" s="29"/>
      <c r="BC7" s="30"/>
      <c r="BD7" s="31"/>
      <c r="BE7" s="31"/>
      <c r="BF7" s="31"/>
      <c r="BG7" s="31"/>
      <c r="BH7" s="32"/>
      <c r="BI7" s="34"/>
      <c r="BJ7" s="34"/>
      <c r="BK7" s="34"/>
      <c r="BL7" s="34"/>
      <c r="BM7" s="34"/>
      <c r="BN7" s="34"/>
    </row>
    <row r="8" spans="1:66" ht="28.9">
      <c r="A8" s="75" t="s">
        <v>85</v>
      </c>
      <c r="B8" s="37"/>
      <c r="C8" s="38"/>
      <c r="D8" s="38"/>
      <c r="E8" s="18">
        <v>6</v>
      </c>
      <c r="F8" s="16" t="s">
        <v>55</v>
      </c>
      <c r="G8" s="16" t="s">
        <v>80</v>
      </c>
      <c r="H8" s="18" t="s">
        <v>85</v>
      </c>
      <c r="I8" s="39" t="s">
        <v>86</v>
      </c>
      <c r="J8" s="18" t="s">
        <v>58</v>
      </c>
      <c r="K8" s="18" t="s">
        <v>59</v>
      </c>
      <c r="L8" s="28">
        <v>46029</v>
      </c>
      <c r="M8" s="19" t="s">
        <v>60</v>
      </c>
      <c r="N8" s="19" t="s">
        <v>60</v>
      </c>
      <c r="O8" s="19" t="s">
        <v>61</v>
      </c>
      <c r="P8" s="18">
        <v>266176</v>
      </c>
      <c r="Q8" s="18">
        <v>738826</v>
      </c>
      <c r="R8" s="18">
        <v>266227</v>
      </c>
      <c r="S8" s="18">
        <v>7388924</v>
      </c>
      <c r="T8" s="18" t="s">
        <v>62</v>
      </c>
      <c r="U8" s="16"/>
      <c r="V8" s="20"/>
      <c r="W8" s="40"/>
      <c r="X8" s="40"/>
      <c r="Y8" s="41"/>
      <c r="Z8" s="11" t="s">
        <v>71</v>
      </c>
      <c r="AA8" s="11" t="s">
        <v>87</v>
      </c>
      <c r="AB8" s="42" t="s">
        <v>88</v>
      </c>
      <c r="AC8" s="40" t="s">
        <v>60</v>
      </c>
      <c r="AD8" s="11"/>
      <c r="AE8" s="40"/>
      <c r="AF8" s="40"/>
      <c r="AG8" s="40"/>
      <c r="AH8" s="40" t="s">
        <v>58</v>
      </c>
      <c r="AI8" s="41" t="s">
        <v>67</v>
      </c>
      <c r="AJ8" s="41" t="s">
        <v>66</v>
      </c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11" t="s">
        <v>74</v>
      </c>
      <c r="BB8" s="29"/>
      <c r="BC8" s="30"/>
      <c r="BD8" s="31"/>
      <c r="BE8" s="31"/>
      <c r="BF8" s="31"/>
      <c r="BG8" s="31"/>
      <c r="BH8" s="32"/>
      <c r="BI8" s="34"/>
      <c r="BJ8" s="34"/>
      <c r="BK8" s="34"/>
      <c r="BL8" s="34"/>
      <c r="BM8" s="34"/>
      <c r="BN8" s="34"/>
    </row>
    <row r="9" spans="1:66" s="27" customFormat="1" ht="28.9">
      <c r="A9" s="75" t="s">
        <v>89</v>
      </c>
      <c r="B9" s="43"/>
      <c r="C9" s="18"/>
      <c r="D9" s="18"/>
      <c r="E9" s="18">
        <v>6</v>
      </c>
      <c r="F9" s="16" t="s">
        <v>55</v>
      </c>
      <c r="G9" s="16" t="s">
        <v>80</v>
      </c>
      <c r="H9" s="18" t="s">
        <v>89</v>
      </c>
      <c r="I9" s="39" t="s">
        <v>90</v>
      </c>
      <c r="J9" s="18" t="s">
        <v>58</v>
      </c>
      <c r="K9" s="18" t="s">
        <v>59</v>
      </c>
      <c r="L9" s="28">
        <v>46029</v>
      </c>
      <c r="M9" s="19" t="s">
        <v>60</v>
      </c>
      <c r="N9" s="19" t="s">
        <v>60</v>
      </c>
      <c r="O9" s="19" t="s">
        <v>61</v>
      </c>
      <c r="P9" s="18">
        <v>266229</v>
      </c>
      <c r="Q9" s="18">
        <v>7388922</v>
      </c>
      <c r="R9" s="18">
        <v>266262</v>
      </c>
      <c r="S9" s="18">
        <v>7388945</v>
      </c>
      <c r="T9" s="18" t="s">
        <v>62</v>
      </c>
      <c r="U9" s="16"/>
      <c r="V9" s="20"/>
      <c r="W9" s="40"/>
      <c r="X9" s="40"/>
      <c r="Y9" s="41"/>
      <c r="Z9" s="11" t="s">
        <v>91</v>
      </c>
      <c r="AA9" s="11" t="s">
        <v>92</v>
      </c>
      <c r="AB9" s="42" t="s">
        <v>88</v>
      </c>
      <c r="AC9" s="40" t="s">
        <v>60</v>
      </c>
      <c r="AD9" s="11"/>
      <c r="AE9" s="40"/>
      <c r="AF9" s="40"/>
      <c r="AG9" s="40"/>
      <c r="AH9" s="40" t="s">
        <v>58</v>
      </c>
      <c r="AI9" s="41" t="s">
        <v>67</v>
      </c>
      <c r="AJ9" s="41" t="s">
        <v>66</v>
      </c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11" t="s">
        <v>74</v>
      </c>
      <c r="BB9" s="23"/>
      <c r="BC9" s="24"/>
      <c r="BD9" s="25"/>
      <c r="BE9" s="25"/>
      <c r="BF9" s="25"/>
      <c r="BG9" s="25"/>
      <c r="BH9" s="26"/>
    </row>
    <row r="10" spans="1:66" ht="43.15">
      <c r="A10" s="75" t="s">
        <v>93</v>
      </c>
      <c r="B10" s="43"/>
      <c r="C10" s="18"/>
      <c r="D10" s="18"/>
      <c r="E10" s="18">
        <v>6</v>
      </c>
      <c r="F10" s="16" t="s">
        <v>55</v>
      </c>
      <c r="G10" s="16" t="s">
        <v>80</v>
      </c>
      <c r="H10" s="18" t="s">
        <v>93</v>
      </c>
      <c r="I10" s="39" t="s">
        <v>94</v>
      </c>
      <c r="J10" s="18" t="s">
        <v>58</v>
      </c>
      <c r="K10" s="18" t="s">
        <v>59</v>
      </c>
      <c r="L10" s="28">
        <v>46029</v>
      </c>
      <c r="M10" s="19" t="s">
        <v>60</v>
      </c>
      <c r="N10" s="19" t="s">
        <v>60</v>
      </c>
      <c r="O10" s="19" t="s">
        <v>61</v>
      </c>
      <c r="P10" s="18">
        <v>266268</v>
      </c>
      <c r="Q10" s="18">
        <v>7388943</v>
      </c>
      <c r="R10" s="18">
        <v>266502</v>
      </c>
      <c r="S10" s="18">
        <v>7388984</v>
      </c>
      <c r="T10" s="18" t="s">
        <v>62</v>
      </c>
      <c r="U10" s="16"/>
      <c r="V10" s="20"/>
      <c r="W10" s="40"/>
      <c r="X10" s="40"/>
      <c r="Y10" s="41"/>
      <c r="Z10" s="11" t="s">
        <v>91</v>
      </c>
      <c r="AA10" s="22" t="s">
        <v>95</v>
      </c>
      <c r="AB10" s="42" t="s">
        <v>88</v>
      </c>
      <c r="AC10" s="40" t="s">
        <v>60</v>
      </c>
      <c r="AD10" s="11"/>
      <c r="AE10" s="40"/>
      <c r="AF10" s="40"/>
      <c r="AG10" s="40"/>
      <c r="AH10" s="40" t="s">
        <v>58</v>
      </c>
      <c r="AI10" s="41" t="s">
        <v>67</v>
      </c>
      <c r="AJ10" s="41" t="s">
        <v>66</v>
      </c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11" t="s">
        <v>74</v>
      </c>
      <c r="BB10" s="29"/>
      <c r="BC10" s="30"/>
      <c r="BD10" s="31"/>
      <c r="BE10" s="31"/>
      <c r="BF10" s="31"/>
      <c r="BG10" s="31"/>
      <c r="BH10" s="32"/>
      <c r="BI10" s="34"/>
      <c r="BJ10" s="34"/>
      <c r="BK10" s="34"/>
      <c r="BL10" s="34"/>
      <c r="BM10" s="34"/>
      <c r="BN10" s="34"/>
    </row>
    <row r="11" spans="1:66" s="27" customFormat="1" ht="28.9">
      <c r="A11" s="75" t="s">
        <v>96</v>
      </c>
      <c r="B11" s="37"/>
      <c r="C11" s="38"/>
      <c r="D11" s="38"/>
      <c r="E11" s="18">
        <v>6</v>
      </c>
      <c r="F11" s="16" t="s">
        <v>55</v>
      </c>
      <c r="G11" s="16" t="s">
        <v>80</v>
      </c>
      <c r="H11" s="18" t="s">
        <v>96</v>
      </c>
      <c r="I11" s="39" t="s">
        <v>97</v>
      </c>
      <c r="J11" s="18" t="s">
        <v>58</v>
      </c>
      <c r="K11" s="18" t="s">
        <v>59</v>
      </c>
      <c r="L11" s="28">
        <v>46029</v>
      </c>
      <c r="M11" s="19" t="s">
        <v>60</v>
      </c>
      <c r="N11" s="19" t="s">
        <v>60</v>
      </c>
      <c r="O11" s="19" t="s">
        <v>61</v>
      </c>
      <c r="P11" s="18">
        <v>266302</v>
      </c>
      <c r="Q11" s="18">
        <v>7388985</v>
      </c>
      <c r="R11" s="18">
        <v>266297</v>
      </c>
      <c r="S11" s="18">
        <v>7389012</v>
      </c>
      <c r="T11" s="18" t="s">
        <v>62</v>
      </c>
      <c r="U11" s="16"/>
      <c r="V11" s="20"/>
      <c r="W11" s="40"/>
      <c r="X11" s="40"/>
      <c r="Y11" s="41"/>
      <c r="Z11" s="11"/>
      <c r="AA11" s="22" t="s">
        <v>98</v>
      </c>
      <c r="AB11" s="42" t="s">
        <v>88</v>
      </c>
      <c r="AC11" s="40" t="s">
        <v>60</v>
      </c>
      <c r="AD11" s="11"/>
      <c r="AE11" s="40"/>
      <c r="AF11" s="40"/>
      <c r="AG11" s="40"/>
      <c r="AH11" s="40" t="s">
        <v>58</v>
      </c>
      <c r="AI11" s="41" t="s">
        <v>67</v>
      </c>
      <c r="AJ11" s="41" t="s">
        <v>66</v>
      </c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11" t="s">
        <v>74</v>
      </c>
      <c r="BB11" s="23"/>
      <c r="BC11" s="24"/>
      <c r="BD11" s="25"/>
      <c r="BE11" s="25"/>
      <c r="BF11" s="25"/>
      <c r="BG11" s="25"/>
      <c r="BH11" s="26"/>
    </row>
    <row r="12" spans="1:66" ht="28.9">
      <c r="A12" s="75" t="s">
        <v>99</v>
      </c>
      <c r="B12" s="37"/>
      <c r="C12" s="38"/>
      <c r="D12" s="38"/>
      <c r="E12" s="18">
        <v>6</v>
      </c>
      <c r="F12" s="16" t="s">
        <v>55</v>
      </c>
      <c r="G12" s="16" t="s">
        <v>80</v>
      </c>
      <c r="H12" s="18" t="s">
        <v>99</v>
      </c>
      <c r="I12" s="39" t="s">
        <v>90</v>
      </c>
      <c r="J12" s="18" t="s">
        <v>58</v>
      </c>
      <c r="K12" s="18" t="s">
        <v>59</v>
      </c>
      <c r="L12" s="28">
        <v>46029</v>
      </c>
      <c r="M12" s="19" t="s">
        <v>60</v>
      </c>
      <c r="N12" s="19" t="s">
        <v>60</v>
      </c>
      <c r="O12" s="19" t="s">
        <v>61</v>
      </c>
      <c r="P12" s="18">
        <v>266300</v>
      </c>
      <c r="Q12" s="18">
        <v>7389019</v>
      </c>
      <c r="R12" s="18">
        <v>266337</v>
      </c>
      <c r="S12" s="18">
        <v>7389040</v>
      </c>
      <c r="T12" s="18" t="s">
        <v>62</v>
      </c>
      <c r="U12" s="16"/>
      <c r="V12" s="20"/>
      <c r="W12" s="40"/>
      <c r="X12" s="40"/>
      <c r="Y12" s="41"/>
      <c r="Z12" s="11" t="s">
        <v>71</v>
      </c>
      <c r="AA12" s="11" t="s">
        <v>100</v>
      </c>
      <c r="AB12" s="42" t="s">
        <v>88</v>
      </c>
      <c r="AC12" s="40" t="s">
        <v>60</v>
      </c>
      <c r="AD12" s="11"/>
      <c r="AE12" s="40"/>
      <c r="AF12" s="40"/>
      <c r="AG12" s="40"/>
      <c r="AH12" s="40" t="s">
        <v>58</v>
      </c>
      <c r="AI12" s="41" t="s">
        <v>67</v>
      </c>
      <c r="AJ12" s="41" t="s">
        <v>66</v>
      </c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11" t="s">
        <v>74</v>
      </c>
      <c r="BB12" s="29"/>
      <c r="BC12" s="30"/>
      <c r="BD12" s="31"/>
      <c r="BE12" s="31"/>
      <c r="BF12" s="31"/>
      <c r="BG12" s="31"/>
      <c r="BH12" s="32"/>
      <c r="BI12" s="34"/>
      <c r="BJ12" s="34"/>
      <c r="BK12" s="34"/>
      <c r="BL12" s="34"/>
      <c r="BM12" s="34"/>
      <c r="BN12" s="34"/>
    </row>
    <row r="13" spans="1:66" ht="43.15">
      <c r="A13" s="75" t="s">
        <v>101</v>
      </c>
      <c r="B13" s="43"/>
      <c r="C13" s="18"/>
      <c r="D13" s="18"/>
      <c r="E13" s="18">
        <v>6</v>
      </c>
      <c r="F13" s="16" t="s">
        <v>55</v>
      </c>
      <c r="G13" s="16" t="s">
        <v>80</v>
      </c>
      <c r="H13" s="18" t="s">
        <v>101</v>
      </c>
      <c r="I13" s="39" t="s">
        <v>57</v>
      </c>
      <c r="J13" s="18" t="s">
        <v>58</v>
      </c>
      <c r="K13" s="18" t="s">
        <v>59</v>
      </c>
      <c r="L13" s="28">
        <v>46029</v>
      </c>
      <c r="M13" s="19" t="s">
        <v>60</v>
      </c>
      <c r="N13" s="19" t="s">
        <v>60</v>
      </c>
      <c r="O13" s="19" t="s">
        <v>102</v>
      </c>
      <c r="P13" s="18">
        <v>266341</v>
      </c>
      <c r="Q13" s="18">
        <v>7389055</v>
      </c>
      <c r="R13" s="18">
        <v>267675</v>
      </c>
      <c r="S13" s="18">
        <v>7389851</v>
      </c>
      <c r="T13" s="18" t="s">
        <v>62</v>
      </c>
      <c r="U13" s="16"/>
      <c r="V13" s="20"/>
      <c r="W13" s="40"/>
      <c r="X13" s="40"/>
      <c r="Y13" s="41"/>
      <c r="Z13" s="11" t="s">
        <v>71</v>
      </c>
      <c r="AA13" s="11" t="s">
        <v>103</v>
      </c>
      <c r="AB13" s="42" t="s">
        <v>104</v>
      </c>
      <c r="AC13" s="40" t="s">
        <v>60</v>
      </c>
      <c r="AD13" s="11"/>
      <c r="AE13" s="40"/>
      <c r="AF13" s="40"/>
      <c r="AG13" s="40"/>
      <c r="AH13" s="40" t="s">
        <v>58</v>
      </c>
      <c r="AI13" s="41" t="s">
        <v>67</v>
      </c>
      <c r="AJ13" s="41" t="s">
        <v>66</v>
      </c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0" t="s">
        <v>74</v>
      </c>
      <c r="BB13" s="29"/>
      <c r="BC13" s="30"/>
      <c r="BD13" s="31"/>
      <c r="BE13" s="31"/>
      <c r="BF13" s="31"/>
      <c r="BG13" s="31"/>
      <c r="BH13" s="32"/>
      <c r="BI13" s="34"/>
      <c r="BJ13" s="34"/>
      <c r="BK13" s="34"/>
      <c r="BL13" s="34"/>
      <c r="BM13" s="34"/>
      <c r="BN13" s="34"/>
    </row>
    <row r="14" spans="1:66" ht="57.6">
      <c r="A14" s="75" t="s">
        <v>105</v>
      </c>
      <c r="B14" s="43"/>
      <c r="C14" s="18"/>
      <c r="D14" s="18"/>
      <c r="E14" s="18">
        <v>6</v>
      </c>
      <c r="F14" s="16" t="s">
        <v>55</v>
      </c>
      <c r="G14" s="16" t="s">
        <v>106</v>
      </c>
      <c r="H14" s="18" t="s">
        <v>105</v>
      </c>
      <c r="I14" s="39" t="s">
        <v>107</v>
      </c>
      <c r="J14" s="18" t="s">
        <v>58</v>
      </c>
      <c r="K14" s="18" t="s">
        <v>59</v>
      </c>
      <c r="L14" s="28">
        <v>46029</v>
      </c>
      <c r="M14" s="19" t="s">
        <v>60</v>
      </c>
      <c r="N14" s="19" t="s">
        <v>60</v>
      </c>
      <c r="O14" s="19" t="s">
        <v>61</v>
      </c>
      <c r="P14" s="18">
        <v>267649</v>
      </c>
      <c r="Q14" s="18">
        <v>7389908</v>
      </c>
      <c r="R14" s="18">
        <v>260423</v>
      </c>
      <c r="S14" s="18">
        <v>7389348</v>
      </c>
      <c r="T14" s="18" t="s">
        <v>62</v>
      </c>
      <c r="U14" s="16"/>
      <c r="V14" s="20"/>
      <c r="W14" s="40"/>
      <c r="X14" s="40"/>
      <c r="Y14" s="41"/>
      <c r="Z14" s="11" t="s">
        <v>91</v>
      </c>
      <c r="AA14" s="22" t="s">
        <v>108</v>
      </c>
      <c r="AB14" s="42" t="s">
        <v>109</v>
      </c>
      <c r="AC14" s="40" t="s">
        <v>60</v>
      </c>
      <c r="AD14" s="11"/>
      <c r="AE14" s="40"/>
      <c r="AF14" s="40"/>
      <c r="AG14" s="40"/>
      <c r="AH14" s="40" t="s">
        <v>58</v>
      </c>
      <c r="AI14" s="41" t="s">
        <v>67</v>
      </c>
      <c r="AJ14" s="41" t="s">
        <v>66</v>
      </c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0" t="s">
        <v>74</v>
      </c>
      <c r="BB14" s="29"/>
      <c r="BC14" s="30"/>
      <c r="BD14" s="31"/>
      <c r="BE14" s="31"/>
      <c r="BF14" s="31"/>
      <c r="BG14" s="31"/>
      <c r="BH14" s="32"/>
      <c r="BI14" s="34"/>
      <c r="BJ14" s="34"/>
      <c r="BK14" s="34"/>
      <c r="BL14" s="34"/>
      <c r="BM14" s="34"/>
      <c r="BN14" s="34"/>
    </row>
    <row r="15" spans="1:66" s="27" customFormat="1" ht="57.6">
      <c r="A15" s="75" t="s">
        <v>110</v>
      </c>
      <c r="B15" s="37"/>
      <c r="C15" s="38"/>
      <c r="D15" s="38"/>
      <c r="E15" s="18">
        <v>8</v>
      </c>
      <c r="F15" s="16" t="s">
        <v>55</v>
      </c>
      <c r="G15" s="16" t="s">
        <v>106</v>
      </c>
      <c r="H15" s="18" t="s">
        <v>110</v>
      </c>
      <c r="I15" s="39" t="s">
        <v>111</v>
      </c>
      <c r="J15" s="18" t="s">
        <v>58</v>
      </c>
      <c r="K15" s="18" t="s">
        <v>59</v>
      </c>
      <c r="L15" s="28">
        <v>46035</v>
      </c>
      <c r="M15" s="19" t="s">
        <v>60</v>
      </c>
      <c r="N15" s="19" t="s">
        <v>60</v>
      </c>
      <c r="O15" s="19" t="s">
        <v>61</v>
      </c>
      <c r="P15" s="18">
        <v>270790</v>
      </c>
      <c r="Q15" s="18">
        <v>7389456</v>
      </c>
      <c r="R15" s="18">
        <v>270655</v>
      </c>
      <c r="S15" s="18">
        <v>7389361</v>
      </c>
      <c r="T15" s="18" t="s">
        <v>62</v>
      </c>
      <c r="U15" s="16"/>
      <c r="V15" s="20"/>
      <c r="W15" s="40"/>
      <c r="X15" s="40"/>
      <c r="Y15" s="41"/>
      <c r="Z15" s="11" t="s">
        <v>91</v>
      </c>
      <c r="AA15" s="22" t="s">
        <v>72</v>
      </c>
      <c r="AB15" s="42" t="s">
        <v>112</v>
      </c>
      <c r="AC15" s="40" t="s">
        <v>60</v>
      </c>
      <c r="AD15" s="11"/>
      <c r="AE15" s="40"/>
      <c r="AF15" s="40"/>
      <c r="AG15" s="40"/>
      <c r="AH15" s="40" t="s">
        <v>58</v>
      </c>
      <c r="AI15" s="41" t="s">
        <v>67</v>
      </c>
      <c r="AJ15" s="41" t="s">
        <v>66</v>
      </c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0" t="s">
        <v>74</v>
      </c>
      <c r="BB15" s="23"/>
      <c r="BC15" s="24"/>
      <c r="BD15" s="25"/>
      <c r="BE15" s="25"/>
      <c r="BF15" s="25"/>
      <c r="BG15" s="25"/>
      <c r="BH15" s="26"/>
    </row>
    <row r="16" spans="1:66" s="27" customFormat="1" ht="72">
      <c r="A16" s="75" t="s">
        <v>113</v>
      </c>
      <c r="B16" s="15"/>
      <c r="C16" s="16"/>
      <c r="D16" s="16"/>
      <c r="E16" s="16">
        <v>8</v>
      </c>
      <c r="F16" s="16" t="s">
        <v>55</v>
      </c>
      <c r="G16" s="16" t="s">
        <v>106</v>
      </c>
      <c r="H16" s="16" t="s">
        <v>113</v>
      </c>
      <c r="I16" s="17" t="s">
        <v>114</v>
      </c>
      <c r="J16" s="16" t="s">
        <v>58</v>
      </c>
      <c r="K16" s="18" t="s">
        <v>59</v>
      </c>
      <c r="L16" s="28">
        <v>46035</v>
      </c>
      <c r="M16" s="19" t="s">
        <v>60</v>
      </c>
      <c r="N16" s="19" t="s">
        <v>60</v>
      </c>
      <c r="O16" s="19" t="s">
        <v>61</v>
      </c>
      <c r="P16" s="18">
        <v>2770668</v>
      </c>
      <c r="Q16" s="18">
        <v>7389356</v>
      </c>
      <c r="R16" s="18">
        <v>270578</v>
      </c>
      <c r="S16" s="18">
        <v>7389142</v>
      </c>
      <c r="T16" s="18" t="s">
        <v>62</v>
      </c>
      <c r="U16" s="16"/>
      <c r="V16" s="20"/>
      <c r="W16" s="11"/>
      <c r="X16" s="11"/>
      <c r="Y16" s="21"/>
      <c r="Z16" s="11" t="s">
        <v>91</v>
      </c>
      <c r="AA16" s="22" t="s">
        <v>115</v>
      </c>
      <c r="AB16" s="22" t="s">
        <v>116</v>
      </c>
      <c r="AC16" s="11" t="s">
        <v>60</v>
      </c>
      <c r="AD16" s="11"/>
      <c r="AE16" s="11"/>
      <c r="AF16" s="11"/>
      <c r="AG16" s="11"/>
      <c r="AH16" s="11" t="s">
        <v>58</v>
      </c>
      <c r="AI16" s="21" t="s">
        <v>67</v>
      </c>
      <c r="AJ16" s="41" t="s">
        <v>66</v>
      </c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40" t="s">
        <v>74</v>
      </c>
      <c r="BB16" s="23"/>
      <c r="BC16" s="24"/>
      <c r="BD16" s="25"/>
      <c r="BE16" s="25"/>
      <c r="BF16" s="25"/>
      <c r="BG16" s="25"/>
      <c r="BH16" s="26"/>
    </row>
    <row r="17" spans="1:60" ht="28.9">
      <c r="A17" s="75" t="s">
        <v>117</v>
      </c>
      <c r="B17" s="15"/>
      <c r="C17" s="16"/>
      <c r="D17" s="16"/>
      <c r="E17" s="16">
        <v>8</v>
      </c>
      <c r="F17" s="16" t="s">
        <v>55</v>
      </c>
      <c r="G17" s="16" t="s">
        <v>106</v>
      </c>
      <c r="H17" s="16" t="s">
        <v>117</v>
      </c>
      <c r="I17" s="17" t="s">
        <v>118</v>
      </c>
      <c r="J17" s="16" t="s">
        <v>58</v>
      </c>
      <c r="K17" s="18" t="s">
        <v>59</v>
      </c>
      <c r="L17" s="28">
        <v>46035</v>
      </c>
      <c r="M17" s="19" t="s">
        <v>60</v>
      </c>
      <c r="N17" s="19" t="s">
        <v>60</v>
      </c>
      <c r="O17" s="19" t="s">
        <v>61</v>
      </c>
      <c r="P17" s="18">
        <v>270579</v>
      </c>
      <c r="Q17" s="18">
        <v>7389140</v>
      </c>
      <c r="R17" s="18">
        <v>270559</v>
      </c>
      <c r="S17" s="18">
        <v>7389108</v>
      </c>
      <c r="T17" s="18" t="s">
        <v>62</v>
      </c>
      <c r="U17" s="16"/>
      <c r="V17" s="20"/>
      <c r="W17" s="11"/>
      <c r="X17" s="11"/>
      <c r="Y17" s="21"/>
      <c r="Z17" s="11" t="s">
        <v>91</v>
      </c>
      <c r="AA17" s="22" t="s">
        <v>119</v>
      </c>
      <c r="AB17" s="22" t="s">
        <v>120</v>
      </c>
      <c r="AC17" s="11" t="s">
        <v>60</v>
      </c>
      <c r="AD17" s="11"/>
      <c r="AE17" s="11"/>
      <c r="AF17" s="11"/>
      <c r="AG17" s="11"/>
      <c r="AH17" s="11" t="s">
        <v>58</v>
      </c>
      <c r="AI17" s="21" t="s">
        <v>67</v>
      </c>
      <c r="AJ17" s="21" t="s">
        <v>66</v>
      </c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40" t="s">
        <v>74</v>
      </c>
      <c r="BB17" s="29"/>
      <c r="BC17" s="30"/>
      <c r="BD17" s="31"/>
      <c r="BE17" s="31"/>
      <c r="BF17" s="31"/>
      <c r="BG17" s="31"/>
      <c r="BH17" s="32"/>
    </row>
    <row r="18" spans="1:60" ht="57.6">
      <c r="A18" s="75" t="s">
        <v>121</v>
      </c>
      <c r="B18" s="15"/>
      <c r="C18" s="16"/>
      <c r="D18" s="16"/>
      <c r="E18" s="16">
        <v>8</v>
      </c>
      <c r="F18" s="16" t="s">
        <v>55</v>
      </c>
      <c r="G18" s="16" t="s">
        <v>106</v>
      </c>
      <c r="H18" s="16" t="s">
        <v>122</v>
      </c>
      <c r="I18" s="17" t="s">
        <v>114</v>
      </c>
      <c r="J18" s="16" t="s">
        <v>58</v>
      </c>
      <c r="K18" s="18" t="s">
        <v>59</v>
      </c>
      <c r="L18" s="28">
        <v>46035</v>
      </c>
      <c r="M18" s="19" t="s">
        <v>60</v>
      </c>
      <c r="N18" s="19" t="s">
        <v>60</v>
      </c>
      <c r="O18" s="19" t="s">
        <v>61</v>
      </c>
      <c r="P18" s="18">
        <v>270548</v>
      </c>
      <c r="Q18" s="18">
        <v>7389123</v>
      </c>
      <c r="R18" s="18">
        <v>270355</v>
      </c>
      <c r="S18" s="18">
        <v>7389156</v>
      </c>
      <c r="T18" s="18" t="s">
        <v>62</v>
      </c>
      <c r="U18" s="16"/>
      <c r="V18" s="20"/>
      <c r="W18" s="11"/>
      <c r="X18" s="11"/>
      <c r="Y18" s="21"/>
      <c r="Z18" s="11" t="s">
        <v>91</v>
      </c>
      <c r="AA18" s="22" t="s">
        <v>123</v>
      </c>
      <c r="AB18" s="22" t="s">
        <v>124</v>
      </c>
      <c r="AC18" s="11" t="s">
        <v>60</v>
      </c>
      <c r="AD18" s="11"/>
      <c r="AE18" s="11"/>
      <c r="AF18" s="11"/>
      <c r="AG18" s="11"/>
      <c r="AH18" s="11" t="s">
        <v>58</v>
      </c>
      <c r="AI18" s="21" t="s">
        <v>67</v>
      </c>
      <c r="AJ18" s="21" t="s">
        <v>66</v>
      </c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40" t="s">
        <v>74</v>
      </c>
      <c r="BB18" s="29"/>
      <c r="BC18" s="30"/>
      <c r="BD18" s="31"/>
      <c r="BE18" s="31"/>
      <c r="BF18" s="31"/>
      <c r="BG18" s="31"/>
      <c r="BH18" s="32"/>
    </row>
    <row r="19" spans="1:60" s="27" customFormat="1" ht="86.45">
      <c r="A19" s="75" t="s">
        <v>125</v>
      </c>
      <c r="B19" s="15"/>
      <c r="C19" s="16"/>
      <c r="D19" s="16"/>
      <c r="E19" s="16">
        <v>8</v>
      </c>
      <c r="F19" s="16" t="s">
        <v>55</v>
      </c>
      <c r="G19" s="16" t="s">
        <v>106</v>
      </c>
      <c r="H19" s="16" t="s">
        <v>126</v>
      </c>
      <c r="I19" s="17" t="s">
        <v>114</v>
      </c>
      <c r="J19" s="16" t="s">
        <v>58</v>
      </c>
      <c r="K19" s="18" t="s">
        <v>59</v>
      </c>
      <c r="L19" s="28">
        <v>46035</v>
      </c>
      <c r="M19" s="19" t="s">
        <v>60</v>
      </c>
      <c r="N19" s="19" t="s">
        <v>60</v>
      </c>
      <c r="O19" s="19" t="s">
        <v>61</v>
      </c>
      <c r="P19" s="18">
        <v>270361</v>
      </c>
      <c r="Q19" s="18">
        <v>7389145</v>
      </c>
      <c r="R19" s="18">
        <v>270314</v>
      </c>
      <c r="S19" s="18">
        <v>7389024</v>
      </c>
      <c r="T19" s="18" t="s">
        <v>62</v>
      </c>
      <c r="U19" s="16"/>
      <c r="V19" s="20"/>
      <c r="W19" s="11"/>
      <c r="X19" s="11"/>
      <c r="Y19" s="21"/>
      <c r="Z19" s="11" t="s">
        <v>91</v>
      </c>
      <c r="AA19" s="22" t="s">
        <v>127</v>
      </c>
      <c r="AB19" s="22" t="s">
        <v>128</v>
      </c>
      <c r="AC19" s="11" t="s">
        <v>60</v>
      </c>
      <c r="AD19" s="11"/>
      <c r="AE19" s="11"/>
      <c r="AF19" s="11"/>
      <c r="AG19" s="11"/>
      <c r="AH19" s="11" t="s">
        <v>58</v>
      </c>
      <c r="AI19" s="21" t="s">
        <v>67</v>
      </c>
      <c r="AJ19" s="21" t="s">
        <v>66</v>
      </c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40" t="s">
        <v>74</v>
      </c>
      <c r="BB19" s="23"/>
      <c r="BC19" s="24"/>
      <c r="BD19" s="25"/>
      <c r="BE19" s="25"/>
      <c r="BF19" s="25"/>
      <c r="BG19" s="25"/>
      <c r="BH19" s="26"/>
    </row>
    <row r="20" spans="1:60" s="27" customFormat="1" ht="43.15">
      <c r="A20" s="75" t="s">
        <v>129</v>
      </c>
      <c r="B20" s="15"/>
      <c r="C20" s="16"/>
      <c r="D20" s="16"/>
      <c r="E20" s="16">
        <v>8</v>
      </c>
      <c r="F20" s="16" t="s">
        <v>55</v>
      </c>
      <c r="G20" s="16" t="s">
        <v>106</v>
      </c>
      <c r="H20" s="16" t="s">
        <v>130</v>
      </c>
      <c r="I20" s="17" t="s">
        <v>111</v>
      </c>
      <c r="J20" s="16" t="s">
        <v>58</v>
      </c>
      <c r="K20" s="18" t="s">
        <v>59</v>
      </c>
      <c r="L20" s="28">
        <v>46035</v>
      </c>
      <c r="M20" s="19" t="s">
        <v>60</v>
      </c>
      <c r="N20" s="19" t="s">
        <v>60</v>
      </c>
      <c r="O20" s="19" t="s">
        <v>61</v>
      </c>
      <c r="P20" s="18">
        <v>270305</v>
      </c>
      <c r="Q20" s="18">
        <v>7389039</v>
      </c>
      <c r="R20" s="18">
        <v>270232</v>
      </c>
      <c r="S20" s="18">
        <v>7389090</v>
      </c>
      <c r="T20" s="18" t="s">
        <v>62</v>
      </c>
      <c r="U20" s="16"/>
      <c r="V20" s="20"/>
      <c r="W20" s="11"/>
      <c r="X20" s="11"/>
      <c r="Y20" s="21"/>
      <c r="Z20" s="11" t="s">
        <v>71</v>
      </c>
      <c r="AA20" s="22" t="s">
        <v>100</v>
      </c>
      <c r="AB20" s="22" t="s">
        <v>131</v>
      </c>
      <c r="AC20" s="11" t="s">
        <v>60</v>
      </c>
      <c r="AD20" s="11"/>
      <c r="AE20" s="11"/>
      <c r="AF20" s="11"/>
      <c r="AG20" s="11"/>
      <c r="AH20" s="11" t="s">
        <v>58</v>
      </c>
      <c r="AI20" s="21" t="s">
        <v>67</v>
      </c>
      <c r="AJ20" s="21" t="s">
        <v>66</v>
      </c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40" t="s">
        <v>74</v>
      </c>
      <c r="BB20" s="23"/>
      <c r="BC20" s="24"/>
      <c r="BD20" s="25"/>
      <c r="BE20" s="25"/>
      <c r="BF20" s="25"/>
      <c r="BG20" s="25"/>
      <c r="BH20" s="26"/>
    </row>
    <row r="21" spans="1:60" ht="86.45">
      <c r="A21" s="75" t="s">
        <v>132</v>
      </c>
      <c r="B21" s="35"/>
      <c r="C21" s="36"/>
      <c r="D21" s="36"/>
      <c r="E21" s="16">
        <v>8</v>
      </c>
      <c r="F21" s="16" t="s">
        <v>55</v>
      </c>
      <c r="G21" s="16" t="s">
        <v>106</v>
      </c>
      <c r="H21" s="11" t="s">
        <v>132</v>
      </c>
      <c r="I21" s="17" t="s">
        <v>133</v>
      </c>
      <c r="J21" s="16" t="s">
        <v>58</v>
      </c>
      <c r="K21" s="18" t="s">
        <v>59</v>
      </c>
      <c r="L21" s="28">
        <v>46035</v>
      </c>
      <c r="M21" s="19" t="s">
        <v>60</v>
      </c>
      <c r="N21" s="19" t="s">
        <v>60</v>
      </c>
      <c r="O21" s="19" t="s">
        <v>61</v>
      </c>
      <c r="P21" s="18">
        <v>270231</v>
      </c>
      <c r="Q21" s="18">
        <v>7389089</v>
      </c>
      <c r="R21" s="18">
        <v>270197</v>
      </c>
      <c r="S21" s="18">
        <v>7389113</v>
      </c>
      <c r="T21" s="18" t="s">
        <v>62</v>
      </c>
      <c r="U21" s="16"/>
      <c r="V21" s="20"/>
      <c r="W21" s="11"/>
      <c r="X21" s="11"/>
      <c r="Y21" s="21"/>
      <c r="Z21" s="11" t="s">
        <v>91</v>
      </c>
      <c r="AA21" s="22" t="s">
        <v>134</v>
      </c>
      <c r="AB21" s="22" t="s">
        <v>120</v>
      </c>
      <c r="AC21" s="11" t="s">
        <v>60</v>
      </c>
      <c r="AD21" s="11"/>
      <c r="AE21" s="11"/>
      <c r="AF21" s="11"/>
      <c r="AG21" s="11"/>
      <c r="AH21" s="11" t="s">
        <v>58</v>
      </c>
      <c r="AI21" s="21" t="s">
        <v>67</v>
      </c>
      <c r="AJ21" s="21" t="s">
        <v>66</v>
      </c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40" t="s">
        <v>74</v>
      </c>
      <c r="BB21" s="29"/>
      <c r="BC21" s="30"/>
      <c r="BD21" s="31"/>
      <c r="BE21" s="31"/>
      <c r="BF21" s="31"/>
      <c r="BG21" s="31"/>
      <c r="BH21" s="32"/>
    </row>
    <row r="22" spans="1:60" ht="57.6">
      <c r="A22" s="75" t="s">
        <v>135</v>
      </c>
      <c r="B22" s="35"/>
      <c r="C22" s="36"/>
      <c r="D22" s="36"/>
      <c r="E22" s="16">
        <v>8</v>
      </c>
      <c r="F22" s="16" t="s">
        <v>55</v>
      </c>
      <c r="G22" s="16" t="s">
        <v>106</v>
      </c>
      <c r="H22" s="11" t="s">
        <v>135</v>
      </c>
      <c r="I22" s="17" t="s">
        <v>136</v>
      </c>
      <c r="J22" s="16" t="s">
        <v>58</v>
      </c>
      <c r="K22" s="18" t="s">
        <v>59</v>
      </c>
      <c r="L22" s="28">
        <v>46035</v>
      </c>
      <c r="M22" s="19" t="s">
        <v>60</v>
      </c>
      <c r="N22" s="19" t="s">
        <v>60</v>
      </c>
      <c r="O22" s="19" t="s">
        <v>61</v>
      </c>
      <c r="P22" s="18">
        <v>270189</v>
      </c>
      <c r="Q22" s="18">
        <v>7389126</v>
      </c>
      <c r="R22" s="18">
        <v>270049</v>
      </c>
      <c r="S22" s="18">
        <v>7389009</v>
      </c>
      <c r="T22" s="18" t="s">
        <v>62</v>
      </c>
      <c r="U22" s="16"/>
      <c r="V22" s="20"/>
      <c r="W22" s="11"/>
      <c r="X22" s="11"/>
      <c r="Y22" s="21"/>
      <c r="Z22" s="11" t="s">
        <v>91</v>
      </c>
      <c r="AA22" s="22" t="s">
        <v>137</v>
      </c>
      <c r="AB22" s="22" t="s">
        <v>138</v>
      </c>
      <c r="AC22" s="11" t="s">
        <v>60</v>
      </c>
      <c r="AD22" s="11"/>
      <c r="AE22" s="11"/>
      <c r="AF22" s="11"/>
      <c r="AG22" s="11"/>
      <c r="AH22" s="11" t="s">
        <v>58</v>
      </c>
      <c r="AI22" s="21" t="s">
        <v>67</v>
      </c>
      <c r="AJ22" s="21" t="s">
        <v>66</v>
      </c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40" t="s">
        <v>74</v>
      </c>
      <c r="BB22" s="29"/>
      <c r="BC22" s="30"/>
      <c r="BD22" s="31"/>
      <c r="BE22" s="31"/>
      <c r="BF22" s="31"/>
      <c r="BG22" s="31"/>
      <c r="BH22" s="32"/>
    </row>
    <row r="23" spans="1:60" s="27" customFormat="1" ht="57.6">
      <c r="A23" s="75" t="s">
        <v>139</v>
      </c>
      <c r="B23" s="15"/>
      <c r="C23" s="16"/>
      <c r="D23" s="16"/>
      <c r="E23" s="16">
        <v>8</v>
      </c>
      <c r="F23" s="16" t="s">
        <v>55</v>
      </c>
      <c r="G23" s="16" t="s">
        <v>106</v>
      </c>
      <c r="H23" s="11" t="s">
        <v>139</v>
      </c>
      <c r="I23" s="17" t="s">
        <v>140</v>
      </c>
      <c r="J23" s="16" t="s">
        <v>58</v>
      </c>
      <c r="K23" s="18" t="s">
        <v>59</v>
      </c>
      <c r="L23" s="28">
        <v>46035</v>
      </c>
      <c r="M23" s="19" t="s">
        <v>60</v>
      </c>
      <c r="N23" s="19" t="s">
        <v>60</v>
      </c>
      <c r="O23" s="19" t="s">
        <v>61</v>
      </c>
      <c r="P23" s="18">
        <v>270055</v>
      </c>
      <c r="Q23" s="18">
        <v>7388992</v>
      </c>
      <c r="R23" s="18">
        <v>270027</v>
      </c>
      <c r="S23" s="18">
        <v>7388843</v>
      </c>
      <c r="T23" s="18" t="s">
        <v>62</v>
      </c>
      <c r="U23" s="16"/>
      <c r="V23" s="20"/>
      <c r="W23" s="11"/>
      <c r="X23" s="11"/>
      <c r="Y23" s="21"/>
      <c r="Z23" s="11" t="s">
        <v>91</v>
      </c>
      <c r="AA23" s="22" t="s">
        <v>141</v>
      </c>
      <c r="AB23" s="22" t="s">
        <v>142</v>
      </c>
      <c r="AC23" s="11" t="s">
        <v>60</v>
      </c>
      <c r="AD23" s="11"/>
      <c r="AE23" s="11"/>
      <c r="AF23" s="11"/>
      <c r="AG23" s="11"/>
      <c r="AH23" s="11" t="s">
        <v>58</v>
      </c>
      <c r="AI23" s="21" t="s">
        <v>67</v>
      </c>
      <c r="AJ23" s="21" t="s">
        <v>66</v>
      </c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40" t="s">
        <v>74</v>
      </c>
      <c r="BB23" s="23"/>
      <c r="BC23" s="24"/>
      <c r="BD23" s="25"/>
      <c r="BE23" s="25"/>
      <c r="BF23" s="25"/>
      <c r="BG23" s="25"/>
      <c r="BH23" s="26"/>
    </row>
    <row r="24" spans="1:60" ht="28.9">
      <c r="A24" s="75" t="s">
        <v>143</v>
      </c>
      <c r="B24" s="35"/>
      <c r="C24" s="36"/>
      <c r="D24" s="36"/>
      <c r="E24" s="16">
        <v>9</v>
      </c>
      <c r="F24" s="16" t="s">
        <v>55</v>
      </c>
      <c r="G24" s="16" t="s">
        <v>106</v>
      </c>
      <c r="H24" s="11" t="s">
        <v>143</v>
      </c>
      <c r="I24" s="17" t="s">
        <v>144</v>
      </c>
      <c r="J24" s="16" t="s">
        <v>58</v>
      </c>
      <c r="K24" s="18" t="s">
        <v>59</v>
      </c>
      <c r="L24" s="28">
        <v>46035</v>
      </c>
      <c r="M24" s="19" t="s">
        <v>60</v>
      </c>
      <c r="N24" s="19" t="s">
        <v>60</v>
      </c>
      <c r="O24" s="19" t="s">
        <v>61</v>
      </c>
      <c r="P24" s="18">
        <v>260027</v>
      </c>
      <c r="Q24" s="18">
        <v>7388842</v>
      </c>
      <c r="R24" s="18">
        <v>268906</v>
      </c>
      <c r="S24" s="18">
        <v>7387873</v>
      </c>
      <c r="T24" s="18" t="s">
        <v>62</v>
      </c>
      <c r="U24" s="16"/>
      <c r="V24" s="20"/>
      <c r="W24" s="11"/>
      <c r="X24" s="11"/>
      <c r="Y24" s="21"/>
      <c r="Z24" s="11"/>
      <c r="AA24" s="22" t="s">
        <v>145</v>
      </c>
      <c r="AB24" s="22" t="s">
        <v>146</v>
      </c>
      <c r="AC24" s="11" t="s">
        <v>60</v>
      </c>
      <c r="AD24" s="11"/>
      <c r="AE24" s="11"/>
      <c r="AF24" s="11"/>
      <c r="AG24" s="11"/>
      <c r="AH24" s="11" t="s">
        <v>58</v>
      </c>
      <c r="AI24" s="21" t="s">
        <v>67</v>
      </c>
      <c r="AJ24" s="21" t="s">
        <v>66</v>
      </c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40" t="s">
        <v>74</v>
      </c>
      <c r="BB24" s="29"/>
      <c r="BC24" s="30"/>
      <c r="BD24" s="31"/>
      <c r="BE24" s="31"/>
      <c r="BF24" s="31"/>
      <c r="BG24" s="31"/>
      <c r="BH24" s="32"/>
    </row>
    <row r="25" spans="1:60" ht="100.9">
      <c r="A25" s="75" t="s">
        <v>147</v>
      </c>
      <c r="B25" s="37"/>
      <c r="C25" s="38"/>
      <c r="D25" s="38"/>
      <c r="E25" s="18">
        <v>10</v>
      </c>
      <c r="F25" s="18" t="s">
        <v>55</v>
      </c>
      <c r="G25" s="18" t="s">
        <v>106</v>
      </c>
      <c r="H25" s="18" t="s">
        <v>147</v>
      </c>
      <c r="I25" s="39" t="s">
        <v>148</v>
      </c>
      <c r="J25" s="18" t="s">
        <v>58</v>
      </c>
      <c r="K25" s="18" t="s">
        <v>59</v>
      </c>
      <c r="L25" s="28">
        <v>46036</v>
      </c>
      <c r="M25" s="19" t="s">
        <v>60</v>
      </c>
      <c r="N25" s="19" t="s">
        <v>60</v>
      </c>
      <c r="O25" s="19" t="s">
        <v>61</v>
      </c>
      <c r="P25" s="18">
        <v>268897</v>
      </c>
      <c r="Q25" s="18">
        <v>7387859</v>
      </c>
      <c r="R25" s="18">
        <v>268757</v>
      </c>
      <c r="S25" s="18">
        <v>7387760</v>
      </c>
      <c r="T25" s="18" t="s">
        <v>62</v>
      </c>
      <c r="U25" s="16"/>
      <c r="V25" s="20"/>
      <c r="W25" s="40"/>
      <c r="X25" s="40"/>
      <c r="Y25" s="41"/>
      <c r="Z25" s="11" t="s">
        <v>91</v>
      </c>
      <c r="AA25" s="22" t="s">
        <v>149</v>
      </c>
      <c r="AB25" s="42" t="s">
        <v>150</v>
      </c>
      <c r="AC25" s="11" t="s">
        <v>60</v>
      </c>
      <c r="AD25" s="11"/>
      <c r="AE25" s="40"/>
      <c r="AF25" s="40"/>
      <c r="AG25" s="11"/>
      <c r="AH25" s="11" t="s">
        <v>58</v>
      </c>
      <c r="AI25" s="21" t="s">
        <v>67</v>
      </c>
      <c r="AJ25" s="21" t="s">
        <v>66</v>
      </c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0" t="s">
        <v>74</v>
      </c>
      <c r="BB25" s="29"/>
      <c r="BC25" s="30"/>
      <c r="BD25" s="31"/>
      <c r="BE25" s="31"/>
      <c r="BF25" s="31"/>
      <c r="BG25" s="31"/>
      <c r="BH25" s="32"/>
    </row>
    <row r="26" spans="1:60" ht="43.15">
      <c r="A26" s="75" t="s">
        <v>151</v>
      </c>
      <c r="B26" s="43"/>
      <c r="C26" s="18"/>
      <c r="D26" s="18"/>
      <c r="E26" s="18">
        <v>10</v>
      </c>
      <c r="F26" s="18" t="s">
        <v>55</v>
      </c>
      <c r="G26" s="18" t="s">
        <v>106</v>
      </c>
      <c r="H26" s="18" t="s">
        <v>151</v>
      </c>
      <c r="I26" s="39" t="s">
        <v>152</v>
      </c>
      <c r="J26" s="18" t="s">
        <v>58</v>
      </c>
      <c r="K26" s="18" t="s">
        <v>59</v>
      </c>
      <c r="L26" s="28">
        <v>46036</v>
      </c>
      <c r="M26" s="19" t="s">
        <v>60</v>
      </c>
      <c r="N26" s="19" t="s">
        <v>60</v>
      </c>
      <c r="O26" s="19" t="s">
        <v>61</v>
      </c>
      <c r="P26" s="18">
        <v>268757</v>
      </c>
      <c r="Q26" s="18">
        <v>7387757</v>
      </c>
      <c r="R26" s="18">
        <v>268697</v>
      </c>
      <c r="S26" s="18">
        <v>7387303</v>
      </c>
      <c r="T26" s="18" t="s">
        <v>62</v>
      </c>
      <c r="U26" s="16"/>
      <c r="V26" s="20"/>
      <c r="W26" s="40"/>
      <c r="X26" s="40"/>
      <c r="Y26" s="41"/>
      <c r="Z26" s="11" t="s">
        <v>91</v>
      </c>
      <c r="AA26" s="22" t="s">
        <v>153</v>
      </c>
      <c r="AB26" s="42" t="s">
        <v>154</v>
      </c>
      <c r="AC26" s="11" t="s">
        <v>60</v>
      </c>
      <c r="AD26" s="11"/>
      <c r="AE26" s="40"/>
      <c r="AF26" s="40"/>
      <c r="AG26" s="11"/>
      <c r="AH26" s="11" t="s">
        <v>58</v>
      </c>
      <c r="AI26" s="21" t="s">
        <v>67</v>
      </c>
      <c r="AJ26" s="21" t="s">
        <v>66</v>
      </c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0" t="s">
        <v>74</v>
      </c>
      <c r="BB26" s="29"/>
      <c r="BC26" s="30"/>
      <c r="BD26" s="31"/>
      <c r="BE26" s="31"/>
      <c r="BF26" s="31"/>
      <c r="BG26" s="31"/>
      <c r="BH26" s="32"/>
    </row>
    <row r="27" spans="1:60" ht="28.9">
      <c r="A27" s="75" t="s">
        <v>155</v>
      </c>
      <c r="B27" s="37"/>
      <c r="C27" s="38"/>
      <c r="D27" s="38"/>
      <c r="E27" s="18">
        <v>10</v>
      </c>
      <c r="F27" s="18" t="s">
        <v>55</v>
      </c>
      <c r="G27" s="18" t="s">
        <v>106</v>
      </c>
      <c r="H27" s="18" t="s">
        <v>155</v>
      </c>
      <c r="I27" s="39" t="s">
        <v>156</v>
      </c>
      <c r="J27" s="18" t="s">
        <v>58</v>
      </c>
      <c r="K27" s="18" t="s">
        <v>59</v>
      </c>
      <c r="L27" s="28">
        <v>46036</v>
      </c>
      <c r="M27" s="19" t="s">
        <v>60</v>
      </c>
      <c r="N27" s="19" t="s">
        <v>60</v>
      </c>
      <c r="O27" s="19" t="s">
        <v>61</v>
      </c>
      <c r="P27" s="18">
        <v>268700</v>
      </c>
      <c r="Q27" s="18">
        <v>7387292</v>
      </c>
      <c r="R27" s="18">
        <v>268729</v>
      </c>
      <c r="S27" s="18">
        <v>7387199</v>
      </c>
      <c r="T27" s="18" t="s">
        <v>62</v>
      </c>
      <c r="U27" s="16"/>
      <c r="V27" s="20"/>
      <c r="W27" s="40"/>
      <c r="X27" s="40"/>
      <c r="Y27" s="41"/>
      <c r="Z27" s="11" t="s">
        <v>91</v>
      </c>
      <c r="AA27" s="22" t="s">
        <v>157</v>
      </c>
      <c r="AB27" s="42"/>
      <c r="AC27" s="40" t="s">
        <v>60</v>
      </c>
      <c r="AD27" s="11"/>
      <c r="AE27" s="40"/>
      <c r="AF27" s="40"/>
      <c r="AG27" s="40"/>
      <c r="AH27" s="40" t="s">
        <v>58</v>
      </c>
      <c r="AI27" s="41" t="s">
        <v>67</v>
      </c>
      <c r="AJ27" s="21" t="s">
        <v>66</v>
      </c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0" t="s">
        <v>74</v>
      </c>
      <c r="BB27" s="29"/>
      <c r="BC27" s="30"/>
      <c r="BD27" s="31"/>
      <c r="BE27" s="31"/>
      <c r="BF27" s="31"/>
      <c r="BG27" s="31"/>
      <c r="BH27" s="32"/>
    </row>
    <row r="28" spans="1:60" ht="28.9">
      <c r="A28" s="75" t="s">
        <v>158</v>
      </c>
      <c r="B28" s="37"/>
      <c r="C28" s="38"/>
      <c r="D28" s="38"/>
      <c r="E28" s="18">
        <v>10</v>
      </c>
      <c r="F28" s="18" t="s">
        <v>55</v>
      </c>
      <c r="G28" s="18" t="s">
        <v>106</v>
      </c>
      <c r="H28" s="18" t="s">
        <v>158</v>
      </c>
      <c r="I28" s="39" t="s">
        <v>159</v>
      </c>
      <c r="J28" s="18" t="s">
        <v>58</v>
      </c>
      <c r="K28" s="18" t="s">
        <v>59</v>
      </c>
      <c r="L28" s="28">
        <v>46036</v>
      </c>
      <c r="M28" s="19" t="s">
        <v>60</v>
      </c>
      <c r="N28" s="19" t="s">
        <v>60</v>
      </c>
      <c r="O28" s="19" t="s">
        <v>61</v>
      </c>
      <c r="P28" s="18">
        <v>268737</v>
      </c>
      <c r="Q28" s="18">
        <v>7387197</v>
      </c>
      <c r="R28" s="18">
        <v>268762</v>
      </c>
      <c r="S28" s="18">
        <v>7387103</v>
      </c>
      <c r="T28" s="18" t="s">
        <v>62</v>
      </c>
      <c r="U28" s="16"/>
      <c r="V28" s="20"/>
      <c r="W28" s="40"/>
      <c r="X28" s="40"/>
      <c r="Y28" s="41"/>
      <c r="Z28" s="11" t="s">
        <v>91</v>
      </c>
      <c r="AA28" s="22" t="s">
        <v>160</v>
      </c>
      <c r="AB28" s="42" t="s">
        <v>161</v>
      </c>
      <c r="AC28" s="40" t="s">
        <v>60</v>
      </c>
      <c r="AD28" s="11"/>
      <c r="AE28" s="40"/>
      <c r="AF28" s="40"/>
      <c r="AG28" s="40"/>
      <c r="AH28" s="40" t="s">
        <v>58</v>
      </c>
      <c r="AI28" s="41" t="s">
        <v>67</v>
      </c>
      <c r="AJ28" s="21" t="s">
        <v>66</v>
      </c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0" t="s">
        <v>74</v>
      </c>
      <c r="BB28" s="29"/>
      <c r="BC28" s="30"/>
      <c r="BD28" s="31"/>
      <c r="BE28" s="31"/>
      <c r="BF28" s="31"/>
      <c r="BG28" s="31"/>
      <c r="BH28" s="32"/>
    </row>
    <row r="29" spans="1:60" s="27" customFormat="1">
      <c r="A29" s="75" t="s">
        <v>162</v>
      </c>
      <c r="B29" s="37"/>
      <c r="C29" s="38"/>
      <c r="D29" s="38"/>
      <c r="E29" s="18">
        <v>10</v>
      </c>
      <c r="F29" s="18" t="s">
        <v>55</v>
      </c>
      <c r="G29" s="18" t="s">
        <v>106</v>
      </c>
      <c r="H29" s="18" t="s">
        <v>162</v>
      </c>
      <c r="I29" s="39" t="s">
        <v>111</v>
      </c>
      <c r="J29" s="18" t="s">
        <v>58</v>
      </c>
      <c r="K29" s="18" t="s">
        <v>59</v>
      </c>
      <c r="L29" s="28">
        <v>46036</v>
      </c>
      <c r="M29" s="19" t="s">
        <v>60</v>
      </c>
      <c r="N29" s="19" t="s">
        <v>60</v>
      </c>
      <c r="O29" s="19" t="s">
        <v>61</v>
      </c>
      <c r="P29" s="18">
        <v>268765</v>
      </c>
      <c r="Q29" s="18">
        <v>7389097</v>
      </c>
      <c r="R29" s="18">
        <v>268780</v>
      </c>
      <c r="S29" s="18">
        <v>7387047</v>
      </c>
      <c r="T29" s="18" t="s">
        <v>62</v>
      </c>
      <c r="U29" s="16"/>
      <c r="V29" s="20"/>
      <c r="W29" s="40"/>
      <c r="X29" s="40"/>
      <c r="Y29" s="41"/>
      <c r="Z29" s="11" t="s">
        <v>58</v>
      </c>
      <c r="AA29" s="22" t="s">
        <v>63</v>
      </c>
      <c r="AB29" s="42" t="s">
        <v>163</v>
      </c>
      <c r="AC29" s="40" t="s">
        <v>60</v>
      </c>
      <c r="AD29" s="11"/>
      <c r="AE29" s="40"/>
      <c r="AF29" s="40"/>
      <c r="AG29" s="40"/>
      <c r="AH29" s="40" t="s">
        <v>58</v>
      </c>
      <c r="AI29" s="41" t="s">
        <v>67</v>
      </c>
      <c r="AJ29" s="21" t="s">
        <v>66</v>
      </c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0" t="s">
        <v>74</v>
      </c>
      <c r="BB29" s="23"/>
      <c r="BC29" s="24"/>
      <c r="BD29" s="25"/>
      <c r="BE29" s="25"/>
      <c r="BF29" s="25"/>
      <c r="BG29" s="25"/>
      <c r="BH29" s="26"/>
    </row>
    <row r="30" spans="1:60" s="27" customFormat="1" ht="43.15">
      <c r="A30" s="75" t="s">
        <v>164</v>
      </c>
      <c r="B30" s="43"/>
      <c r="C30" s="18"/>
      <c r="D30" s="18"/>
      <c r="E30" s="18">
        <v>10</v>
      </c>
      <c r="F30" s="18" t="s">
        <v>55</v>
      </c>
      <c r="G30" s="18" t="s">
        <v>106</v>
      </c>
      <c r="H30" s="18" t="s">
        <v>164</v>
      </c>
      <c r="I30" s="39" t="s">
        <v>165</v>
      </c>
      <c r="J30" s="18" t="s">
        <v>58</v>
      </c>
      <c r="K30" s="18" t="s">
        <v>59</v>
      </c>
      <c r="L30" s="28">
        <v>46036</v>
      </c>
      <c r="M30" s="16" t="s">
        <v>60</v>
      </c>
      <c r="N30" s="16" t="s">
        <v>60</v>
      </c>
      <c r="O30" s="19" t="s">
        <v>61</v>
      </c>
      <c r="P30" s="18">
        <v>268777</v>
      </c>
      <c r="Q30" s="18">
        <v>7387047</v>
      </c>
      <c r="R30" s="18">
        <v>268766</v>
      </c>
      <c r="S30" s="18">
        <v>7387004</v>
      </c>
      <c r="T30" s="18" t="s">
        <v>62</v>
      </c>
      <c r="U30" s="16"/>
      <c r="V30" s="20"/>
      <c r="W30" s="40"/>
      <c r="X30" s="40"/>
      <c r="Y30" s="41"/>
      <c r="Z30" s="11" t="s">
        <v>91</v>
      </c>
      <c r="AA30" s="22" t="s">
        <v>166</v>
      </c>
      <c r="AB30" s="42" t="s">
        <v>167</v>
      </c>
      <c r="AC30" s="40" t="s">
        <v>60</v>
      </c>
      <c r="AD30" s="11"/>
      <c r="AE30" s="40"/>
      <c r="AF30" s="40"/>
      <c r="AG30" s="40"/>
      <c r="AH30" s="40" t="s">
        <v>58</v>
      </c>
      <c r="AI30" s="41" t="s">
        <v>67</v>
      </c>
      <c r="AJ30" s="21" t="s">
        <v>66</v>
      </c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0" t="s">
        <v>74</v>
      </c>
      <c r="BB30" s="23"/>
      <c r="BC30" s="24"/>
      <c r="BD30" s="25"/>
      <c r="BE30" s="25"/>
      <c r="BF30" s="25"/>
      <c r="BG30" s="25"/>
      <c r="BH30" s="26"/>
    </row>
    <row r="31" spans="1:60" ht="43.15">
      <c r="A31" s="75">
        <v>30</v>
      </c>
      <c r="B31" s="43"/>
      <c r="C31" s="18"/>
      <c r="D31" s="18"/>
      <c r="E31" s="18">
        <v>10</v>
      </c>
      <c r="F31" s="18" t="s">
        <v>55</v>
      </c>
      <c r="G31" s="18" t="s">
        <v>106</v>
      </c>
      <c r="H31" s="18" t="s">
        <v>168</v>
      </c>
      <c r="I31" s="39" t="s">
        <v>169</v>
      </c>
      <c r="J31" s="18" t="s">
        <v>58</v>
      </c>
      <c r="K31" s="18" t="s">
        <v>59</v>
      </c>
      <c r="L31" s="28">
        <v>46041</v>
      </c>
      <c r="M31" s="16" t="s">
        <v>60</v>
      </c>
      <c r="N31" s="16" t="s">
        <v>60</v>
      </c>
      <c r="O31" s="19" t="s">
        <v>61</v>
      </c>
      <c r="P31" s="18">
        <v>268766</v>
      </c>
      <c r="Q31" s="18">
        <v>7387003</v>
      </c>
      <c r="R31" s="18">
        <v>268867</v>
      </c>
      <c r="S31" s="18">
        <v>7386845</v>
      </c>
      <c r="T31" s="18" t="s">
        <v>62</v>
      </c>
      <c r="U31" s="16"/>
      <c r="V31" s="20"/>
      <c r="W31" s="40"/>
      <c r="X31" s="40"/>
      <c r="Y31" s="41"/>
      <c r="Z31" s="11" t="s">
        <v>91</v>
      </c>
      <c r="AA31" s="22" t="s">
        <v>170</v>
      </c>
      <c r="AB31" s="42" t="s">
        <v>171</v>
      </c>
      <c r="AC31" s="40" t="s">
        <v>60</v>
      </c>
      <c r="AD31" s="11"/>
      <c r="AE31" s="40"/>
      <c r="AF31" s="40"/>
      <c r="AG31" s="40"/>
      <c r="AH31" s="40" t="s">
        <v>58</v>
      </c>
      <c r="AI31" s="41" t="s">
        <v>67</v>
      </c>
      <c r="AJ31" s="21" t="s">
        <v>66</v>
      </c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0" t="s">
        <v>74</v>
      </c>
      <c r="BB31" s="29"/>
      <c r="BC31" s="30"/>
      <c r="BD31" s="31"/>
      <c r="BE31" s="31"/>
      <c r="BF31" s="31"/>
      <c r="BG31" s="31"/>
      <c r="BH31" s="32"/>
    </row>
    <row r="32" spans="1:60" s="27" customFormat="1" ht="28.9">
      <c r="A32" s="75">
        <v>31</v>
      </c>
      <c r="B32" s="43"/>
      <c r="C32" s="18"/>
      <c r="D32" s="18"/>
      <c r="E32" s="18">
        <v>10</v>
      </c>
      <c r="F32" s="18" t="s">
        <v>55</v>
      </c>
      <c r="G32" s="18" t="s">
        <v>106</v>
      </c>
      <c r="H32" s="18" t="s">
        <v>172</v>
      </c>
      <c r="I32" s="39" t="s">
        <v>173</v>
      </c>
      <c r="J32" s="18" t="s">
        <v>58</v>
      </c>
      <c r="K32" s="18" t="s">
        <v>59</v>
      </c>
      <c r="L32" s="66">
        <v>46041</v>
      </c>
      <c r="M32" s="16" t="s">
        <v>60</v>
      </c>
      <c r="N32" s="16" t="s">
        <v>60</v>
      </c>
      <c r="O32" s="19" t="s">
        <v>61</v>
      </c>
      <c r="P32" s="18">
        <v>268878</v>
      </c>
      <c r="Q32" s="18">
        <v>7386833</v>
      </c>
      <c r="R32" s="18">
        <v>269328</v>
      </c>
      <c r="S32" s="18">
        <v>7386887</v>
      </c>
      <c r="T32" s="18" t="s">
        <v>62</v>
      </c>
      <c r="U32" s="16"/>
      <c r="V32" s="20"/>
      <c r="W32" s="40"/>
      <c r="X32" s="40"/>
      <c r="Y32" s="41"/>
      <c r="Z32" s="11" t="s">
        <v>58</v>
      </c>
      <c r="AA32" s="22" t="s">
        <v>63</v>
      </c>
      <c r="AB32" s="42" t="s">
        <v>174</v>
      </c>
      <c r="AC32" s="40" t="s">
        <v>60</v>
      </c>
      <c r="AD32" s="11"/>
      <c r="AE32" s="40"/>
      <c r="AF32" s="40"/>
      <c r="AG32" s="40"/>
      <c r="AH32" s="40" t="s">
        <v>58</v>
      </c>
      <c r="AI32" s="41" t="s">
        <v>67</v>
      </c>
      <c r="AJ32" s="21" t="s">
        <v>66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0" t="s">
        <v>74</v>
      </c>
      <c r="BB32" s="23"/>
      <c r="BC32" s="24"/>
      <c r="BD32" s="25"/>
      <c r="BE32" s="25"/>
      <c r="BF32" s="25"/>
      <c r="BG32" s="25"/>
      <c r="BH32" s="26"/>
    </row>
    <row r="33" spans="1:60" s="27" customFormat="1" ht="57.6">
      <c r="A33" s="75">
        <v>32</v>
      </c>
      <c r="B33" s="43"/>
      <c r="C33" s="18"/>
      <c r="D33" s="18"/>
      <c r="E33" s="18">
        <v>10</v>
      </c>
      <c r="F33" s="18" t="s">
        <v>55</v>
      </c>
      <c r="G33" s="18" t="s">
        <v>106</v>
      </c>
      <c r="H33" s="18" t="s">
        <v>175</v>
      </c>
      <c r="I33" s="39" t="s">
        <v>176</v>
      </c>
      <c r="J33" s="18" t="s">
        <v>58</v>
      </c>
      <c r="K33" s="18" t="s">
        <v>59</v>
      </c>
      <c r="L33" s="66">
        <v>46041</v>
      </c>
      <c r="M33" s="16" t="s">
        <v>60</v>
      </c>
      <c r="N33" s="16" t="s">
        <v>60</v>
      </c>
      <c r="O33" s="19" t="s">
        <v>61</v>
      </c>
      <c r="P33" s="18">
        <v>269346</v>
      </c>
      <c r="Q33" s="18">
        <v>7386882</v>
      </c>
      <c r="R33" s="18">
        <v>269534</v>
      </c>
      <c r="S33" s="18">
        <v>7386767</v>
      </c>
      <c r="T33" s="18" t="s">
        <v>62</v>
      </c>
      <c r="U33" s="16"/>
      <c r="V33" s="20"/>
      <c r="W33" s="40"/>
      <c r="X33" s="40"/>
      <c r="Y33" s="41"/>
      <c r="Z33" s="11" t="s">
        <v>91</v>
      </c>
      <c r="AA33" s="22" t="s">
        <v>177</v>
      </c>
      <c r="AB33" s="42" t="s">
        <v>178</v>
      </c>
      <c r="AC33" s="40" t="s">
        <v>60</v>
      </c>
      <c r="AD33" s="11"/>
      <c r="AE33" s="40"/>
      <c r="AF33" s="40"/>
      <c r="AG33" s="40"/>
      <c r="AH33" s="40" t="s">
        <v>58</v>
      </c>
      <c r="AI33" s="41" t="s">
        <v>67</v>
      </c>
      <c r="AJ33" s="41" t="s">
        <v>66</v>
      </c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0" t="s">
        <v>74</v>
      </c>
      <c r="BB33" s="23"/>
      <c r="BC33" s="24"/>
      <c r="BD33" s="25"/>
      <c r="BE33" s="25"/>
      <c r="BF33" s="25"/>
      <c r="BG33" s="25"/>
      <c r="BH33" s="26"/>
    </row>
    <row r="34" spans="1:60" s="27" customFormat="1" ht="43.15">
      <c r="A34" s="75">
        <v>33</v>
      </c>
      <c r="B34" s="43"/>
      <c r="C34" s="18"/>
      <c r="D34" s="18"/>
      <c r="E34" s="18">
        <v>10</v>
      </c>
      <c r="F34" s="18" t="s">
        <v>55</v>
      </c>
      <c r="G34" s="18" t="s">
        <v>106</v>
      </c>
      <c r="H34" s="18" t="s">
        <v>179</v>
      </c>
      <c r="I34" s="39" t="s">
        <v>180</v>
      </c>
      <c r="J34" s="18" t="s">
        <v>58</v>
      </c>
      <c r="K34" s="18" t="s">
        <v>59</v>
      </c>
      <c r="L34" s="66">
        <v>46042</v>
      </c>
      <c r="M34" s="16" t="s">
        <v>60</v>
      </c>
      <c r="N34" s="16" t="s">
        <v>60</v>
      </c>
      <c r="O34" s="19" t="s">
        <v>61</v>
      </c>
      <c r="P34" s="18">
        <v>269536</v>
      </c>
      <c r="Q34" s="18">
        <v>7386776</v>
      </c>
      <c r="R34" s="18">
        <v>269712</v>
      </c>
      <c r="S34" s="18">
        <v>7386828</v>
      </c>
      <c r="T34" s="18" t="s">
        <v>62</v>
      </c>
      <c r="U34" s="16"/>
      <c r="V34" s="20"/>
      <c r="W34" s="40"/>
      <c r="X34" s="40"/>
      <c r="Y34" s="41"/>
      <c r="Z34" s="11" t="s">
        <v>58</v>
      </c>
      <c r="AA34" s="22" t="s">
        <v>58</v>
      </c>
      <c r="AB34" s="42" t="s">
        <v>181</v>
      </c>
      <c r="AC34" s="40" t="s">
        <v>60</v>
      </c>
      <c r="AD34" s="11"/>
      <c r="AE34" s="40"/>
      <c r="AF34" s="40"/>
      <c r="AG34" s="40"/>
      <c r="AH34" s="40" t="s">
        <v>58</v>
      </c>
      <c r="AI34" s="41" t="s">
        <v>67</v>
      </c>
      <c r="AJ34" s="41" t="s">
        <v>66</v>
      </c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0" t="s">
        <v>74</v>
      </c>
      <c r="BB34" s="23"/>
      <c r="BC34" s="24"/>
      <c r="BD34" s="25"/>
      <c r="BE34" s="25"/>
      <c r="BF34" s="25"/>
      <c r="BG34" s="25"/>
      <c r="BH34" s="26"/>
    </row>
    <row r="35" spans="1:60" ht="43.15">
      <c r="A35" s="75">
        <v>34</v>
      </c>
      <c r="B35" s="43"/>
      <c r="C35" s="18"/>
      <c r="D35" s="18"/>
      <c r="E35" s="18">
        <v>10</v>
      </c>
      <c r="F35" s="18" t="s">
        <v>55</v>
      </c>
      <c r="G35" s="18" t="s">
        <v>106</v>
      </c>
      <c r="H35" s="18" t="s">
        <v>182</v>
      </c>
      <c r="I35" s="39" t="s">
        <v>183</v>
      </c>
      <c r="J35" s="18" t="s">
        <v>58</v>
      </c>
      <c r="K35" s="18" t="s">
        <v>59</v>
      </c>
      <c r="L35" s="66">
        <v>46042</v>
      </c>
      <c r="M35" s="16" t="s">
        <v>60</v>
      </c>
      <c r="N35" s="16" t="s">
        <v>60</v>
      </c>
      <c r="O35" s="19" t="s">
        <v>61</v>
      </c>
      <c r="P35" s="18" t="s">
        <v>184</v>
      </c>
      <c r="Q35" s="18"/>
      <c r="R35" s="18"/>
      <c r="S35" s="18"/>
      <c r="T35" s="18" t="s">
        <v>62</v>
      </c>
      <c r="U35" s="16"/>
      <c r="V35" s="20"/>
      <c r="W35" s="40"/>
      <c r="X35" s="40"/>
      <c r="Y35" s="41"/>
      <c r="Z35" s="11" t="s">
        <v>91</v>
      </c>
      <c r="AA35" s="22" t="s">
        <v>185</v>
      </c>
      <c r="AB35" s="42"/>
      <c r="AC35" s="40" t="s">
        <v>60</v>
      </c>
      <c r="AD35" s="11"/>
      <c r="AE35" s="40"/>
      <c r="AF35" s="40"/>
      <c r="AG35" s="40"/>
      <c r="AH35" s="40" t="s">
        <v>58</v>
      </c>
      <c r="AI35" s="41" t="s">
        <v>67</v>
      </c>
      <c r="AJ35" s="41" t="s">
        <v>66</v>
      </c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0" t="s">
        <v>74</v>
      </c>
      <c r="BB35" s="29"/>
      <c r="BC35" s="30"/>
      <c r="BD35" s="31"/>
      <c r="BE35" s="31"/>
      <c r="BF35" s="31"/>
      <c r="BG35" s="31"/>
      <c r="BH35" s="32"/>
    </row>
    <row r="36" spans="1:60" s="27" customFormat="1" ht="72">
      <c r="A36" s="75">
        <v>35</v>
      </c>
      <c r="B36" s="43"/>
      <c r="C36" s="18"/>
      <c r="D36" s="18"/>
      <c r="E36" s="18">
        <v>10</v>
      </c>
      <c r="F36" s="18" t="s">
        <v>55</v>
      </c>
      <c r="G36" s="18" t="s">
        <v>106</v>
      </c>
      <c r="H36" s="18" t="s">
        <v>186</v>
      </c>
      <c r="I36" s="39" t="s">
        <v>187</v>
      </c>
      <c r="J36" s="18" t="s">
        <v>58</v>
      </c>
      <c r="K36" s="18" t="s">
        <v>59</v>
      </c>
      <c r="L36" s="66">
        <v>46042</v>
      </c>
      <c r="M36" s="16" t="s">
        <v>60</v>
      </c>
      <c r="N36" s="16" t="s">
        <v>60</v>
      </c>
      <c r="O36" s="19" t="s">
        <v>61</v>
      </c>
      <c r="P36" s="18">
        <v>269697</v>
      </c>
      <c r="Q36" s="18">
        <v>7386827</v>
      </c>
      <c r="R36" s="18">
        <v>269791</v>
      </c>
      <c r="S36" s="18">
        <v>7386543</v>
      </c>
      <c r="T36" s="18" t="s">
        <v>62</v>
      </c>
      <c r="U36" s="16"/>
      <c r="V36" s="20"/>
      <c r="W36" s="40"/>
      <c r="X36" s="40"/>
      <c r="Y36" s="41"/>
      <c r="Z36" s="11" t="s">
        <v>91</v>
      </c>
      <c r="AA36" s="22" t="s">
        <v>188</v>
      </c>
      <c r="AB36" s="42" t="s">
        <v>189</v>
      </c>
      <c r="AC36" s="40" t="s">
        <v>60</v>
      </c>
      <c r="AD36" s="11"/>
      <c r="AE36" s="40"/>
      <c r="AF36" s="40"/>
      <c r="AG36" s="40"/>
      <c r="AH36" s="40" t="s">
        <v>58</v>
      </c>
      <c r="AI36" s="41" t="s">
        <v>67</v>
      </c>
      <c r="AJ36" s="41" t="s">
        <v>66</v>
      </c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0" t="s">
        <v>74</v>
      </c>
      <c r="BB36" s="23"/>
      <c r="BC36" s="24"/>
      <c r="BD36" s="25"/>
      <c r="BE36" s="25"/>
      <c r="BF36" s="25"/>
      <c r="BG36" s="25"/>
      <c r="BH36" s="26"/>
    </row>
    <row r="37" spans="1:60" s="27" customFormat="1" ht="115.15">
      <c r="A37" s="75">
        <v>36</v>
      </c>
      <c r="B37" s="44"/>
      <c r="C37" s="45"/>
      <c r="D37" s="45"/>
      <c r="E37" s="18">
        <v>10</v>
      </c>
      <c r="F37" s="18" t="s">
        <v>55</v>
      </c>
      <c r="G37" s="18" t="s">
        <v>106</v>
      </c>
      <c r="H37" s="18" t="s">
        <v>190</v>
      </c>
      <c r="I37" s="39" t="s">
        <v>183</v>
      </c>
      <c r="J37" s="18" t="s">
        <v>58</v>
      </c>
      <c r="K37" s="18" t="s">
        <v>59</v>
      </c>
      <c r="L37" s="66">
        <v>46042</v>
      </c>
      <c r="M37" s="16" t="s">
        <v>60</v>
      </c>
      <c r="N37" s="16" t="s">
        <v>60</v>
      </c>
      <c r="O37" s="19" t="s">
        <v>61</v>
      </c>
      <c r="P37" s="18">
        <v>269788</v>
      </c>
      <c r="Q37" s="18">
        <v>7386555</v>
      </c>
      <c r="R37" s="18">
        <v>270020</v>
      </c>
      <c r="S37" s="18">
        <v>7386460</v>
      </c>
      <c r="T37" s="18" t="s">
        <v>62</v>
      </c>
      <c r="U37" s="16"/>
      <c r="V37" s="20"/>
      <c r="W37" s="40"/>
      <c r="X37" s="40"/>
      <c r="Y37" s="41"/>
      <c r="Z37" s="11" t="s">
        <v>91</v>
      </c>
      <c r="AA37" s="22" t="s">
        <v>191</v>
      </c>
      <c r="AB37" s="42" t="s">
        <v>192</v>
      </c>
      <c r="AC37" s="40" t="s">
        <v>60</v>
      </c>
      <c r="AD37" s="11"/>
      <c r="AE37" s="40"/>
      <c r="AF37" s="40"/>
      <c r="AG37" s="40"/>
      <c r="AH37" s="40" t="s">
        <v>58</v>
      </c>
      <c r="AI37" s="41" t="s">
        <v>67</v>
      </c>
      <c r="AJ37" s="41" t="s">
        <v>66</v>
      </c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0" t="s">
        <v>74</v>
      </c>
      <c r="BB37" s="23"/>
      <c r="BC37" s="24"/>
      <c r="BD37" s="25"/>
      <c r="BE37" s="25"/>
      <c r="BF37" s="25"/>
      <c r="BG37" s="25"/>
      <c r="BH37" s="26"/>
    </row>
    <row r="38" spans="1:60" s="27" customFormat="1" ht="43.15">
      <c r="A38" s="75">
        <v>37</v>
      </c>
      <c r="B38" s="43"/>
      <c r="C38" s="18"/>
      <c r="D38" s="18"/>
      <c r="E38" s="18">
        <v>10</v>
      </c>
      <c r="F38" s="18" t="s">
        <v>55</v>
      </c>
      <c r="G38" s="18" t="s">
        <v>106</v>
      </c>
      <c r="H38" s="18" t="s">
        <v>193</v>
      </c>
      <c r="I38" s="39" t="s">
        <v>194</v>
      </c>
      <c r="J38" s="18" t="s">
        <v>58</v>
      </c>
      <c r="K38" s="18" t="s">
        <v>59</v>
      </c>
      <c r="L38" s="66">
        <v>46042</v>
      </c>
      <c r="M38" s="16" t="s">
        <v>60</v>
      </c>
      <c r="N38" s="16" t="s">
        <v>60</v>
      </c>
      <c r="O38" s="19" t="s">
        <v>61</v>
      </c>
      <c r="P38" s="18">
        <v>270014</v>
      </c>
      <c r="Q38" s="18">
        <v>7386482</v>
      </c>
      <c r="R38" s="18">
        <v>270084</v>
      </c>
      <c r="S38" s="18">
        <v>7386503</v>
      </c>
      <c r="T38" s="18" t="s">
        <v>62</v>
      </c>
      <c r="U38" s="16"/>
      <c r="V38" s="20"/>
      <c r="W38" s="40"/>
      <c r="X38" s="40"/>
      <c r="Y38" s="41"/>
      <c r="Z38" s="11" t="s">
        <v>91</v>
      </c>
      <c r="AA38" s="22" t="s">
        <v>195</v>
      </c>
      <c r="AB38" s="42" t="s">
        <v>196</v>
      </c>
      <c r="AC38" s="40" t="s">
        <v>60</v>
      </c>
      <c r="AD38" s="11"/>
      <c r="AE38" s="40"/>
      <c r="AF38" s="40"/>
      <c r="AG38" s="40"/>
      <c r="AH38" s="40" t="s">
        <v>58</v>
      </c>
      <c r="AI38" s="41" t="s">
        <v>67</v>
      </c>
      <c r="AJ38" s="41" t="s">
        <v>66</v>
      </c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0" t="s">
        <v>74</v>
      </c>
      <c r="BB38" s="23"/>
      <c r="BC38" s="24"/>
      <c r="BD38" s="25"/>
      <c r="BE38" s="25"/>
      <c r="BF38" s="25"/>
      <c r="BG38" s="25"/>
      <c r="BH38" s="26"/>
    </row>
    <row r="39" spans="1:60">
      <c r="A39" s="75">
        <v>38</v>
      </c>
      <c r="B39" s="43"/>
      <c r="C39" s="18"/>
      <c r="D39" s="18"/>
      <c r="E39" s="18">
        <v>10</v>
      </c>
      <c r="F39" s="18" t="s">
        <v>55</v>
      </c>
      <c r="G39" s="18" t="s">
        <v>106</v>
      </c>
      <c r="H39" s="18" t="s">
        <v>197</v>
      </c>
      <c r="I39" s="39" t="s">
        <v>198</v>
      </c>
      <c r="J39" s="18" t="s">
        <v>58</v>
      </c>
      <c r="K39" s="18" t="s">
        <v>59</v>
      </c>
      <c r="L39" s="66">
        <v>46042</v>
      </c>
      <c r="M39" s="16" t="s">
        <v>60</v>
      </c>
      <c r="N39" s="16" t="s">
        <v>60</v>
      </c>
      <c r="O39" s="19" t="s">
        <v>61</v>
      </c>
      <c r="P39" s="18">
        <v>270105</v>
      </c>
      <c r="Q39" s="18">
        <v>7386468</v>
      </c>
      <c r="R39" s="18">
        <v>270183</v>
      </c>
      <c r="S39" s="18">
        <v>7386389</v>
      </c>
      <c r="T39" s="18" t="s">
        <v>62</v>
      </c>
      <c r="U39" s="16"/>
      <c r="V39" s="20"/>
      <c r="W39" s="40"/>
      <c r="X39" s="40"/>
      <c r="Y39" s="41"/>
      <c r="Z39" s="11" t="s">
        <v>91</v>
      </c>
      <c r="AA39" s="22" t="s">
        <v>199</v>
      </c>
      <c r="AB39" s="42" t="s">
        <v>200</v>
      </c>
      <c r="AC39" s="40" t="s">
        <v>60</v>
      </c>
      <c r="AD39" s="11"/>
      <c r="AE39" s="40"/>
      <c r="AF39" s="40"/>
      <c r="AG39" s="40"/>
      <c r="AH39" s="40" t="s">
        <v>58</v>
      </c>
      <c r="AI39" s="41" t="s">
        <v>67</v>
      </c>
      <c r="AJ39" s="41" t="s">
        <v>66</v>
      </c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0" t="s">
        <v>74</v>
      </c>
      <c r="BB39" s="29"/>
      <c r="BC39" s="30"/>
      <c r="BD39" s="31"/>
      <c r="BE39" s="31"/>
      <c r="BF39" s="31"/>
      <c r="BG39" s="31"/>
      <c r="BH39" s="32"/>
    </row>
    <row r="40" spans="1:60" ht="28.9">
      <c r="A40" s="75">
        <v>39</v>
      </c>
      <c r="B40" s="43"/>
      <c r="C40" s="18"/>
      <c r="D40" s="18"/>
      <c r="E40" s="18">
        <v>10</v>
      </c>
      <c r="F40" s="18" t="s">
        <v>55</v>
      </c>
      <c r="G40" s="18" t="s">
        <v>106</v>
      </c>
      <c r="H40" s="18" t="s">
        <v>201</v>
      </c>
      <c r="I40" s="39" t="s">
        <v>202</v>
      </c>
      <c r="J40" s="18" t="s">
        <v>58</v>
      </c>
      <c r="K40" s="18" t="s">
        <v>59</v>
      </c>
      <c r="L40" s="66">
        <v>46042</v>
      </c>
      <c r="M40" s="16" t="s">
        <v>60</v>
      </c>
      <c r="N40" s="16" t="s">
        <v>60</v>
      </c>
      <c r="O40" s="19" t="s">
        <v>61</v>
      </c>
      <c r="P40" s="18">
        <v>270158</v>
      </c>
      <c r="Q40" s="18">
        <v>7386373</v>
      </c>
      <c r="R40" s="18">
        <v>270163</v>
      </c>
      <c r="S40" s="18">
        <v>7386408</v>
      </c>
      <c r="T40" s="18" t="s">
        <v>62</v>
      </c>
      <c r="U40" s="16"/>
      <c r="V40" s="20"/>
      <c r="W40" s="40"/>
      <c r="X40" s="40"/>
      <c r="Y40" s="41"/>
      <c r="Z40" s="11" t="s">
        <v>91</v>
      </c>
      <c r="AA40" s="22" t="s">
        <v>203</v>
      </c>
      <c r="AB40" s="42" t="s">
        <v>204</v>
      </c>
      <c r="AC40" s="40" t="s">
        <v>60</v>
      </c>
      <c r="AD40" s="11"/>
      <c r="AE40" s="40"/>
      <c r="AF40" s="40"/>
      <c r="AG40" s="40" t="s">
        <v>60</v>
      </c>
      <c r="AH40" s="40" t="s">
        <v>58</v>
      </c>
      <c r="AI40" s="41" t="s">
        <v>67</v>
      </c>
      <c r="AJ40" s="41" t="s">
        <v>66</v>
      </c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0" t="s">
        <v>74</v>
      </c>
      <c r="BB40" s="29"/>
      <c r="BC40" s="30"/>
      <c r="BD40" s="31"/>
      <c r="BE40" s="31"/>
      <c r="BF40" s="31"/>
      <c r="BG40" s="31"/>
      <c r="BH40" s="32"/>
    </row>
    <row r="41" spans="1:60" ht="86.45">
      <c r="A41" s="75">
        <v>40</v>
      </c>
      <c r="B41" s="43"/>
      <c r="C41" s="18"/>
      <c r="D41" s="18"/>
      <c r="E41" s="18">
        <v>10</v>
      </c>
      <c r="F41" s="18" t="s">
        <v>55</v>
      </c>
      <c r="G41" s="18" t="s">
        <v>106</v>
      </c>
      <c r="H41" s="18" t="s">
        <v>205</v>
      </c>
      <c r="I41" s="39" t="s">
        <v>111</v>
      </c>
      <c r="J41" s="18" t="s">
        <v>58</v>
      </c>
      <c r="K41" s="18" t="s">
        <v>59</v>
      </c>
      <c r="L41" s="66">
        <v>46043</v>
      </c>
      <c r="M41" s="16" t="s">
        <v>60</v>
      </c>
      <c r="N41" s="16" t="s">
        <v>60</v>
      </c>
      <c r="O41" s="19" t="s">
        <v>61</v>
      </c>
      <c r="P41" s="18">
        <v>270191</v>
      </c>
      <c r="Q41" s="18">
        <v>7386397</v>
      </c>
      <c r="R41" s="18">
        <v>270223</v>
      </c>
      <c r="S41" s="18">
        <v>7386411</v>
      </c>
      <c r="T41" s="18" t="s">
        <v>62</v>
      </c>
      <c r="U41" s="16"/>
      <c r="V41" s="20"/>
      <c r="W41" s="40"/>
      <c r="X41" s="40"/>
      <c r="Y41" s="41"/>
      <c r="Z41" s="11" t="s">
        <v>91</v>
      </c>
      <c r="AA41" s="22" t="s">
        <v>206</v>
      </c>
      <c r="AB41" s="42" t="s">
        <v>207</v>
      </c>
      <c r="AC41" s="40" t="s">
        <v>60</v>
      </c>
      <c r="AD41" s="11"/>
      <c r="AE41" s="40"/>
      <c r="AF41" s="40"/>
      <c r="AG41" s="40" t="s">
        <v>60</v>
      </c>
      <c r="AH41" s="40" t="s">
        <v>58</v>
      </c>
      <c r="AI41" s="41" t="s">
        <v>67</v>
      </c>
      <c r="AJ41" s="41" t="s">
        <v>66</v>
      </c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0" t="s">
        <v>74</v>
      </c>
      <c r="BB41" s="29"/>
      <c r="BC41" s="30"/>
      <c r="BD41" s="31"/>
      <c r="BE41" s="31"/>
      <c r="BF41" s="31"/>
      <c r="BG41" s="31"/>
      <c r="BH41" s="32"/>
    </row>
    <row r="42" spans="1:60" ht="57.6">
      <c r="A42" s="75">
        <v>41</v>
      </c>
      <c r="B42" s="43"/>
      <c r="C42" s="18"/>
      <c r="D42" s="18"/>
      <c r="E42" s="18">
        <v>10</v>
      </c>
      <c r="F42" s="18" t="s">
        <v>55</v>
      </c>
      <c r="G42" s="18" t="s">
        <v>106</v>
      </c>
      <c r="H42" s="18" t="s">
        <v>208</v>
      </c>
      <c r="I42" s="39" t="s">
        <v>209</v>
      </c>
      <c r="J42" s="18" t="s">
        <v>58</v>
      </c>
      <c r="K42" s="18" t="s">
        <v>59</v>
      </c>
      <c r="L42" s="66">
        <v>46043</v>
      </c>
      <c r="M42" s="16" t="s">
        <v>60</v>
      </c>
      <c r="N42" s="16" t="s">
        <v>60</v>
      </c>
      <c r="O42" s="19" t="s">
        <v>61</v>
      </c>
      <c r="P42" s="18">
        <v>270235</v>
      </c>
      <c r="Q42" s="18">
        <v>7386413</v>
      </c>
      <c r="R42" s="18">
        <v>270252</v>
      </c>
      <c r="S42" s="18">
        <v>7386386</v>
      </c>
      <c r="T42" s="18" t="s">
        <v>62</v>
      </c>
      <c r="U42" s="16"/>
      <c r="V42" s="20"/>
      <c r="W42" s="40"/>
      <c r="X42" s="40"/>
      <c r="Y42" s="41"/>
      <c r="Z42" s="11" t="s">
        <v>91</v>
      </c>
      <c r="AA42" s="22" t="s">
        <v>210</v>
      </c>
      <c r="AB42" s="42" t="s">
        <v>211</v>
      </c>
      <c r="AC42" s="40" t="s">
        <v>60</v>
      </c>
      <c r="AD42" s="11"/>
      <c r="AE42" s="40"/>
      <c r="AF42" s="40"/>
      <c r="AG42" s="40" t="s">
        <v>60</v>
      </c>
      <c r="AH42" s="40" t="s">
        <v>58</v>
      </c>
      <c r="AI42" s="41" t="s">
        <v>67</v>
      </c>
      <c r="AJ42" s="41" t="s">
        <v>66</v>
      </c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0" t="s">
        <v>74</v>
      </c>
      <c r="BB42" s="29"/>
      <c r="BC42" s="30"/>
      <c r="BD42" s="31"/>
      <c r="BE42" s="31"/>
      <c r="BF42" s="31"/>
      <c r="BG42" s="31"/>
      <c r="BH42" s="32"/>
    </row>
    <row r="43" spans="1:60" s="27" customFormat="1" ht="86.45">
      <c r="A43" s="75">
        <v>42</v>
      </c>
      <c r="B43" s="43"/>
      <c r="C43" s="18"/>
      <c r="D43" s="18"/>
      <c r="E43" s="18">
        <v>10</v>
      </c>
      <c r="F43" s="18" t="s">
        <v>55</v>
      </c>
      <c r="G43" s="18" t="s">
        <v>106</v>
      </c>
      <c r="H43" s="18" t="s">
        <v>212</v>
      </c>
      <c r="I43" s="39" t="s">
        <v>111</v>
      </c>
      <c r="J43" s="18" t="s">
        <v>58</v>
      </c>
      <c r="K43" s="18" t="s">
        <v>59</v>
      </c>
      <c r="L43" s="66">
        <v>46043</v>
      </c>
      <c r="M43" s="16" t="s">
        <v>60</v>
      </c>
      <c r="N43" s="16" t="s">
        <v>60</v>
      </c>
      <c r="O43" s="19" t="s">
        <v>61</v>
      </c>
      <c r="P43" s="18">
        <v>276201</v>
      </c>
      <c r="Q43" s="18">
        <v>7386404</v>
      </c>
      <c r="R43" s="18">
        <v>270270</v>
      </c>
      <c r="S43" s="18">
        <v>7386397</v>
      </c>
      <c r="T43" s="18" t="s">
        <v>62</v>
      </c>
      <c r="U43" s="16"/>
      <c r="V43" s="20"/>
      <c r="W43" s="40"/>
      <c r="X43" s="40"/>
      <c r="Y43" s="41"/>
      <c r="Z43" s="11" t="s">
        <v>91</v>
      </c>
      <c r="AA43" s="22" t="s">
        <v>213</v>
      </c>
      <c r="AB43" s="42" t="s">
        <v>214</v>
      </c>
      <c r="AC43" s="40" t="s">
        <v>60</v>
      </c>
      <c r="AD43" s="11"/>
      <c r="AE43" s="40"/>
      <c r="AF43" s="40"/>
      <c r="AG43" s="40" t="s">
        <v>60</v>
      </c>
      <c r="AH43" s="40" t="s">
        <v>58</v>
      </c>
      <c r="AI43" s="41" t="s">
        <v>67</v>
      </c>
      <c r="AJ43" s="41" t="s">
        <v>66</v>
      </c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0" t="s">
        <v>74</v>
      </c>
      <c r="BB43" s="23"/>
      <c r="BC43" s="24"/>
      <c r="BD43" s="25"/>
      <c r="BE43" s="25"/>
      <c r="BF43" s="25"/>
      <c r="BG43" s="25"/>
      <c r="BH43" s="26"/>
    </row>
    <row r="44" spans="1:60" ht="86.45">
      <c r="A44" s="75">
        <v>43</v>
      </c>
      <c r="B44" s="43"/>
      <c r="C44" s="18"/>
      <c r="D44" s="18"/>
      <c r="E44" s="18">
        <v>10</v>
      </c>
      <c r="F44" s="18" t="s">
        <v>55</v>
      </c>
      <c r="G44" s="18" t="s">
        <v>106</v>
      </c>
      <c r="H44" s="18" t="s">
        <v>215</v>
      </c>
      <c r="I44" s="39" t="s">
        <v>216</v>
      </c>
      <c r="J44" s="18" t="s">
        <v>58</v>
      </c>
      <c r="K44" s="18" t="s">
        <v>59</v>
      </c>
      <c r="L44" s="66">
        <v>46043</v>
      </c>
      <c r="M44" s="16" t="s">
        <v>60</v>
      </c>
      <c r="N44" s="16" t="s">
        <v>60</v>
      </c>
      <c r="O44" s="19" t="s">
        <v>61</v>
      </c>
      <c r="P44" s="18">
        <v>270272</v>
      </c>
      <c r="Q44" s="18">
        <v>7386395</v>
      </c>
      <c r="R44" s="18">
        <v>270293</v>
      </c>
      <c r="S44" s="18">
        <v>7386398</v>
      </c>
      <c r="T44" s="18" t="s">
        <v>62</v>
      </c>
      <c r="U44" s="16"/>
      <c r="V44" s="20"/>
      <c r="W44" s="40"/>
      <c r="X44" s="40"/>
      <c r="Y44" s="41"/>
      <c r="Z44" s="11" t="s">
        <v>91</v>
      </c>
      <c r="AA44" s="22" t="s">
        <v>217</v>
      </c>
      <c r="AB44" s="42" t="s">
        <v>218</v>
      </c>
      <c r="AC44" s="40" t="s">
        <v>60</v>
      </c>
      <c r="AD44" s="11"/>
      <c r="AE44" s="40"/>
      <c r="AF44" s="40"/>
      <c r="AG44" s="40" t="s">
        <v>60</v>
      </c>
      <c r="AH44" s="40" t="s">
        <v>58</v>
      </c>
      <c r="AI44" s="41" t="s">
        <v>67</v>
      </c>
      <c r="AJ44" s="41" t="s">
        <v>66</v>
      </c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0" t="s">
        <v>74</v>
      </c>
      <c r="BB44" s="29"/>
      <c r="BC44" s="30"/>
      <c r="BD44" s="31"/>
      <c r="BE44" s="31"/>
      <c r="BF44" s="31"/>
      <c r="BG44" s="31"/>
      <c r="BH44" s="32"/>
    </row>
    <row r="45" spans="1:60" ht="57.6">
      <c r="A45" s="75">
        <v>44</v>
      </c>
      <c r="B45" s="43"/>
      <c r="C45" s="18"/>
      <c r="D45" s="18"/>
      <c r="E45" s="18">
        <v>10</v>
      </c>
      <c r="F45" s="18" t="s">
        <v>55</v>
      </c>
      <c r="G45" s="18" t="s">
        <v>106</v>
      </c>
      <c r="H45" s="18" t="s">
        <v>219</v>
      </c>
      <c r="I45" s="39" t="s">
        <v>220</v>
      </c>
      <c r="J45" s="18" t="s">
        <v>58</v>
      </c>
      <c r="K45" s="18" t="s">
        <v>59</v>
      </c>
      <c r="L45" s="66">
        <v>46043</v>
      </c>
      <c r="M45" s="16" t="s">
        <v>60</v>
      </c>
      <c r="N45" s="16" t="s">
        <v>60</v>
      </c>
      <c r="O45" s="19" t="s">
        <v>61</v>
      </c>
      <c r="P45" s="18">
        <v>270297</v>
      </c>
      <c r="Q45" s="18">
        <v>7386390</v>
      </c>
      <c r="R45" s="18">
        <v>270309</v>
      </c>
      <c r="S45" s="18">
        <v>7386383</v>
      </c>
      <c r="T45" s="18" t="s">
        <v>62</v>
      </c>
      <c r="U45" s="16"/>
      <c r="V45" s="20"/>
      <c r="W45" s="40"/>
      <c r="X45" s="40"/>
      <c r="Y45" s="41"/>
      <c r="Z45" s="11" t="s">
        <v>91</v>
      </c>
      <c r="AA45" s="22" t="s">
        <v>221</v>
      </c>
      <c r="AB45" s="42" t="s">
        <v>222</v>
      </c>
      <c r="AC45" s="40" t="s">
        <v>60</v>
      </c>
      <c r="AD45" s="11"/>
      <c r="AE45" s="40"/>
      <c r="AF45" s="40"/>
      <c r="AG45" s="40" t="s">
        <v>60</v>
      </c>
      <c r="AH45" s="40" t="s">
        <v>58</v>
      </c>
      <c r="AI45" s="41" t="s">
        <v>67</v>
      </c>
      <c r="AJ45" s="41" t="s">
        <v>66</v>
      </c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0" t="s">
        <v>74</v>
      </c>
      <c r="BB45" s="29"/>
      <c r="BC45" s="30"/>
      <c r="BD45" s="31"/>
      <c r="BE45" s="31"/>
      <c r="BF45" s="31"/>
      <c r="BG45" s="31"/>
      <c r="BH45" s="32"/>
    </row>
    <row r="46" spans="1:60" s="27" customFormat="1" ht="28.9">
      <c r="A46" s="75">
        <v>45</v>
      </c>
      <c r="B46" s="43"/>
      <c r="C46" s="18"/>
      <c r="D46" s="18"/>
      <c r="E46" s="18">
        <v>10</v>
      </c>
      <c r="F46" s="18" t="s">
        <v>55</v>
      </c>
      <c r="G46" s="18" t="s">
        <v>106</v>
      </c>
      <c r="H46" s="18" t="s">
        <v>223</v>
      </c>
      <c r="I46" s="39" t="s">
        <v>224</v>
      </c>
      <c r="J46" s="18" t="s">
        <v>58</v>
      </c>
      <c r="K46" s="18" t="s">
        <v>59</v>
      </c>
      <c r="L46" s="66">
        <v>46044</v>
      </c>
      <c r="M46" s="16" t="s">
        <v>60</v>
      </c>
      <c r="N46" s="16" t="s">
        <v>60</v>
      </c>
      <c r="O46" s="19" t="s">
        <v>61</v>
      </c>
      <c r="P46" s="18">
        <v>270313</v>
      </c>
      <c r="Q46" s="18">
        <v>7386376</v>
      </c>
      <c r="R46" s="18">
        <v>270328</v>
      </c>
      <c r="S46" s="18">
        <v>7386377</v>
      </c>
      <c r="T46" s="18" t="s">
        <v>62</v>
      </c>
      <c r="U46" s="16"/>
      <c r="V46" s="20"/>
      <c r="W46" s="40"/>
      <c r="X46" s="40"/>
      <c r="Y46" s="41"/>
      <c r="Z46" s="11" t="s">
        <v>71</v>
      </c>
      <c r="AA46" s="22" t="s">
        <v>63</v>
      </c>
      <c r="AB46" s="42" t="s">
        <v>225</v>
      </c>
      <c r="AC46" s="40" t="s">
        <v>60</v>
      </c>
      <c r="AD46" s="11"/>
      <c r="AE46" s="40"/>
      <c r="AF46" s="40"/>
      <c r="AG46" s="40" t="s">
        <v>60</v>
      </c>
      <c r="AH46" s="40" t="s">
        <v>58</v>
      </c>
      <c r="AI46" s="41" t="s">
        <v>67</v>
      </c>
      <c r="AJ46" s="41" t="s">
        <v>66</v>
      </c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0" t="s">
        <v>74</v>
      </c>
      <c r="BB46" s="23"/>
      <c r="BC46" s="24"/>
      <c r="BD46" s="25"/>
      <c r="BE46" s="25"/>
      <c r="BF46" s="25"/>
      <c r="BG46" s="25"/>
      <c r="BH46" s="26"/>
    </row>
    <row r="47" spans="1:60" ht="57.6">
      <c r="A47" s="75">
        <v>46</v>
      </c>
      <c r="B47" s="43"/>
      <c r="C47" s="18"/>
      <c r="D47" s="18"/>
      <c r="E47" s="18">
        <v>0</v>
      </c>
      <c r="F47" s="18" t="s">
        <v>55</v>
      </c>
      <c r="G47" s="18" t="s">
        <v>106</v>
      </c>
      <c r="H47" s="18" t="s">
        <v>226</v>
      </c>
      <c r="I47" s="39" t="s">
        <v>111</v>
      </c>
      <c r="J47" s="18" t="s">
        <v>58</v>
      </c>
      <c r="K47" s="18" t="s">
        <v>59</v>
      </c>
      <c r="L47" s="66">
        <v>46044</v>
      </c>
      <c r="M47" s="16" t="s">
        <v>60</v>
      </c>
      <c r="N47" s="16" t="s">
        <v>60</v>
      </c>
      <c r="O47" s="19" t="s">
        <v>61</v>
      </c>
      <c r="P47" s="18">
        <v>270333</v>
      </c>
      <c r="Q47" s="18">
        <v>7386377</v>
      </c>
      <c r="R47" s="18">
        <v>270353</v>
      </c>
      <c r="S47" s="18">
        <v>7386370</v>
      </c>
      <c r="T47" s="18" t="s">
        <v>62</v>
      </c>
      <c r="U47" s="16"/>
      <c r="V47" s="20"/>
      <c r="W47" s="40"/>
      <c r="X47" s="40"/>
      <c r="Y47" s="41"/>
      <c r="Z47" s="11" t="s">
        <v>91</v>
      </c>
      <c r="AA47" s="22" t="s">
        <v>227</v>
      </c>
      <c r="AB47" s="42" t="s">
        <v>228</v>
      </c>
      <c r="AC47" s="40" t="s">
        <v>60</v>
      </c>
      <c r="AD47" s="11"/>
      <c r="AE47" s="40"/>
      <c r="AF47" s="40"/>
      <c r="AG47" s="40" t="s">
        <v>60</v>
      </c>
      <c r="AH47" s="40" t="s">
        <v>58</v>
      </c>
      <c r="AI47" s="41" t="s">
        <v>67</v>
      </c>
      <c r="AJ47" s="41" t="s">
        <v>66</v>
      </c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0" t="s">
        <v>74</v>
      </c>
      <c r="BB47" s="29"/>
      <c r="BC47" s="30"/>
      <c r="BD47" s="31"/>
      <c r="BE47" s="31"/>
      <c r="BF47" s="31"/>
      <c r="BG47" s="31"/>
      <c r="BH47" s="32"/>
    </row>
    <row r="48" spans="1:60" s="27" customFormat="1" ht="72">
      <c r="A48" s="75">
        <v>47</v>
      </c>
      <c r="B48" s="43"/>
      <c r="C48" s="18"/>
      <c r="D48" s="18"/>
      <c r="E48" s="18">
        <v>10</v>
      </c>
      <c r="F48" s="18" t="s">
        <v>55</v>
      </c>
      <c r="G48" s="18" t="s">
        <v>106</v>
      </c>
      <c r="H48" s="18" t="s">
        <v>229</v>
      </c>
      <c r="I48" s="39" t="s">
        <v>230</v>
      </c>
      <c r="J48" s="18" t="s">
        <v>58</v>
      </c>
      <c r="K48" s="18" t="s">
        <v>59</v>
      </c>
      <c r="L48" s="66">
        <v>46044</v>
      </c>
      <c r="M48" s="16" t="s">
        <v>60</v>
      </c>
      <c r="N48" s="16" t="s">
        <v>60</v>
      </c>
      <c r="O48" s="19" t="s">
        <v>61</v>
      </c>
      <c r="P48" s="18">
        <v>270355</v>
      </c>
      <c r="Q48" s="18">
        <v>7386372</v>
      </c>
      <c r="R48" s="18" t="s">
        <v>231</v>
      </c>
      <c r="S48" s="18" t="s">
        <v>231</v>
      </c>
      <c r="T48" s="18" t="s">
        <v>62</v>
      </c>
      <c r="U48" s="16"/>
      <c r="V48" s="20"/>
      <c r="W48" s="40"/>
      <c r="X48" s="40"/>
      <c r="Y48" s="41"/>
      <c r="Z48" s="11" t="s">
        <v>91</v>
      </c>
      <c r="AA48" s="22" t="s">
        <v>232</v>
      </c>
      <c r="AB48" s="42" t="s">
        <v>233</v>
      </c>
      <c r="AC48" s="40" t="s">
        <v>60</v>
      </c>
      <c r="AD48" s="11"/>
      <c r="AE48" s="40"/>
      <c r="AF48" s="40"/>
      <c r="AG48" s="40" t="s">
        <v>60</v>
      </c>
      <c r="AH48" s="40" t="s">
        <v>58</v>
      </c>
      <c r="AI48" s="41" t="s">
        <v>67</v>
      </c>
      <c r="AJ48" s="41" t="s">
        <v>66</v>
      </c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0" t="s">
        <v>74</v>
      </c>
      <c r="BB48" s="23"/>
      <c r="BC48" s="24"/>
      <c r="BD48" s="25"/>
      <c r="BE48" s="25"/>
      <c r="BF48" s="25"/>
      <c r="BG48" s="25"/>
      <c r="BH48" s="26"/>
    </row>
    <row r="49" spans="1:60" ht="28.9">
      <c r="A49" s="75">
        <v>48</v>
      </c>
      <c r="B49" s="37"/>
      <c r="C49" s="38"/>
      <c r="D49" s="38"/>
      <c r="E49" s="18">
        <v>10</v>
      </c>
      <c r="F49" s="18" t="s">
        <v>55</v>
      </c>
      <c r="G49" s="18" t="s">
        <v>106</v>
      </c>
      <c r="H49" s="18" t="s">
        <v>234</v>
      </c>
      <c r="I49" s="39" t="s">
        <v>235</v>
      </c>
      <c r="J49" s="18" t="s">
        <v>58</v>
      </c>
      <c r="K49" s="18" t="s">
        <v>59</v>
      </c>
      <c r="L49" s="66">
        <v>46044</v>
      </c>
      <c r="M49" s="16" t="s">
        <v>60</v>
      </c>
      <c r="N49" s="16" t="s">
        <v>60</v>
      </c>
      <c r="O49" s="19" t="s">
        <v>61</v>
      </c>
      <c r="P49" s="18">
        <v>270372</v>
      </c>
      <c r="Q49" s="18">
        <v>7386357</v>
      </c>
      <c r="R49" s="18">
        <v>270376</v>
      </c>
      <c r="S49" s="18">
        <v>7386343</v>
      </c>
      <c r="T49" s="18" t="s">
        <v>62</v>
      </c>
      <c r="U49" s="16"/>
      <c r="V49" s="20"/>
      <c r="W49" s="40"/>
      <c r="X49" s="40"/>
      <c r="Y49" s="41"/>
      <c r="Z49" s="11" t="s">
        <v>91</v>
      </c>
      <c r="AA49" s="22" t="s">
        <v>236</v>
      </c>
      <c r="AB49" s="42" t="s">
        <v>237</v>
      </c>
      <c r="AC49" s="40" t="s">
        <v>60</v>
      </c>
      <c r="AD49" s="11"/>
      <c r="AE49" s="40"/>
      <c r="AF49" s="40"/>
      <c r="AG49" s="40" t="s">
        <v>60</v>
      </c>
      <c r="AH49" s="40" t="s">
        <v>58</v>
      </c>
      <c r="AI49" s="41" t="s">
        <v>67</v>
      </c>
      <c r="AJ49" s="41" t="s">
        <v>66</v>
      </c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0" t="s">
        <v>74</v>
      </c>
      <c r="BB49" s="29"/>
      <c r="BC49" s="30"/>
      <c r="BD49" s="31"/>
      <c r="BE49" s="31"/>
      <c r="BF49" s="31"/>
      <c r="BG49" s="31"/>
      <c r="BH49" s="32"/>
    </row>
    <row r="50" spans="1:60" s="27" customFormat="1" ht="43.15">
      <c r="A50" s="75">
        <v>49</v>
      </c>
      <c r="B50" s="43"/>
      <c r="C50" s="18"/>
      <c r="D50" s="18"/>
      <c r="E50" s="18">
        <v>10</v>
      </c>
      <c r="F50" s="18" t="s">
        <v>55</v>
      </c>
      <c r="G50" s="18" t="s">
        <v>106</v>
      </c>
      <c r="H50" s="18" t="s">
        <v>238</v>
      </c>
      <c r="I50" s="39" t="s">
        <v>239</v>
      </c>
      <c r="J50" s="18" t="s">
        <v>58</v>
      </c>
      <c r="K50" s="18" t="s">
        <v>59</v>
      </c>
      <c r="L50" s="66">
        <v>46045</v>
      </c>
      <c r="M50" s="16" t="s">
        <v>60</v>
      </c>
      <c r="N50" s="16" t="s">
        <v>60</v>
      </c>
      <c r="O50" s="19" t="s">
        <v>61</v>
      </c>
      <c r="P50" s="18">
        <v>270367</v>
      </c>
      <c r="Q50" s="18">
        <v>7386320</v>
      </c>
      <c r="R50" s="18">
        <v>270407</v>
      </c>
      <c r="S50" s="18">
        <v>7386325</v>
      </c>
      <c r="T50" s="18" t="s">
        <v>62</v>
      </c>
      <c r="U50" s="16"/>
      <c r="V50" s="20"/>
      <c r="W50" s="40"/>
      <c r="X50" s="40"/>
      <c r="Y50" s="41"/>
      <c r="Z50" s="11" t="s">
        <v>91</v>
      </c>
      <c r="AA50" s="22" t="s">
        <v>240</v>
      </c>
      <c r="AB50" s="42" t="s">
        <v>241</v>
      </c>
      <c r="AC50" s="40" t="s">
        <v>60</v>
      </c>
      <c r="AD50" s="11"/>
      <c r="AE50" s="40"/>
      <c r="AF50" s="40"/>
      <c r="AG50" s="40" t="s">
        <v>60</v>
      </c>
      <c r="AH50" s="40" t="s">
        <v>58</v>
      </c>
      <c r="AI50" s="41" t="s">
        <v>67</v>
      </c>
      <c r="AJ50" s="41" t="s">
        <v>66</v>
      </c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0" t="s">
        <v>74</v>
      </c>
      <c r="BB50" s="23"/>
      <c r="BC50" s="24"/>
      <c r="BD50" s="25"/>
      <c r="BE50" s="25"/>
      <c r="BF50" s="25"/>
      <c r="BG50" s="25"/>
      <c r="BH50" s="26"/>
    </row>
    <row r="51" spans="1:60" ht="115.15">
      <c r="A51" s="75">
        <v>50</v>
      </c>
      <c r="B51" s="37"/>
      <c r="C51" s="38"/>
      <c r="D51" s="38"/>
      <c r="E51" s="18">
        <v>10</v>
      </c>
      <c r="F51" s="18" t="s">
        <v>55</v>
      </c>
      <c r="G51" s="18" t="s">
        <v>106</v>
      </c>
      <c r="H51" s="18" t="s">
        <v>242</v>
      </c>
      <c r="I51" s="39" t="s">
        <v>243</v>
      </c>
      <c r="J51" s="18" t="s">
        <v>58</v>
      </c>
      <c r="K51" s="18" t="s">
        <v>59</v>
      </c>
      <c r="L51" s="66">
        <v>46045</v>
      </c>
      <c r="M51" s="16" t="s">
        <v>60</v>
      </c>
      <c r="N51" s="16" t="s">
        <v>60</v>
      </c>
      <c r="O51" s="19" t="s">
        <v>61</v>
      </c>
      <c r="P51" s="18">
        <v>270380</v>
      </c>
      <c r="Q51" s="18">
        <v>7386272</v>
      </c>
      <c r="R51" s="18">
        <v>270517</v>
      </c>
      <c r="S51" s="18">
        <v>7386234</v>
      </c>
      <c r="T51" s="18" t="s">
        <v>62</v>
      </c>
      <c r="U51" s="16"/>
      <c r="V51" s="20"/>
      <c r="W51" s="40"/>
      <c r="X51" s="40"/>
      <c r="Y51" s="41"/>
      <c r="Z51" s="11" t="s">
        <v>91</v>
      </c>
      <c r="AA51" s="22" t="s">
        <v>244</v>
      </c>
      <c r="AB51" s="42" t="s">
        <v>245</v>
      </c>
      <c r="AC51" s="40" t="s">
        <v>60</v>
      </c>
      <c r="AD51" s="11"/>
      <c r="AE51" s="40"/>
      <c r="AF51" s="40"/>
      <c r="AG51" s="40" t="s">
        <v>60</v>
      </c>
      <c r="AH51" s="40" t="s">
        <v>58</v>
      </c>
      <c r="AI51" s="41" t="s">
        <v>67</v>
      </c>
      <c r="AJ51" s="41" t="s">
        <v>66</v>
      </c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0" t="s">
        <v>74</v>
      </c>
      <c r="BB51" s="29"/>
      <c r="BC51" s="30"/>
      <c r="BD51" s="31"/>
      <c r="BE51" s="31"/>
      <c r="BF51" s="31"/>
      <c r="BG51" s="31"/>
      <c r="BH51" s="32"/>
    </row>
    <row r="52" spans="1:60" ht="57.6">
      <c r="A52" s="75">
        <v>51</v>
      </c>
      <c r="B52" s="43"/>
      <c r="C52" s="18"/>
      <c r="D52" s="18"/>
      <c r="E52" s="18">
        <v>10</v>
      </c>
      <c r="F52" s="18" t="s">
        <v>55</v>
      </c>
      <c r="G52" s="18" t="s">
        <v>106</v>
      </c>
      <c r="H52" s="18" t="s">
        <v>246</v>
      </c>
      <c r="I52" s="39" t="s">
        <v>247</v>
      </c>
      <c r="J52" s="18" t="s">
        <v>58</v>
      </c>
      <c r="K52" s="18" t="s">
        <v>59</v>
      </c>
      <c r="L52" s="66">
        <v>46045</v>
      </c>
      <c r="M52" s="16" t="s">
        <v>60</v>
      </c>
      <c r="N52" s="16" t="s">
        <v>60</v>
      </c>
      <c r="O52" s="19" t="s">
        <v>61</v>
      </c>
      <c r="P52" s="18">
        <v>270528</v>
      </c>
      <c r="Q52" s="18">
        <v>7386237</v>
      </c>
      <c r="R52" s="18">
        <v>270569</v>
      </c>
      <c r="S52" s="18">
        <v>7386168</v>
      </c>
      <c r="T52" s="18" t="s">
        <v>62</v>
      </c>
      <c r="U52" s="16"/>
      <c r="V52" s="20"/>
      <c r="W52" s="40"/>
      <c r="X52" s="40"/>
      <c r="Y52" s="41"/>
      <c r="Z52" s="11" t="s">
        <v>91</v>
      </c>
      <c r="AA52" s="22" t="s">
        <v>248</v>
      </c>
      <c r="AB52" s="42" t="s">
        <v>249</v>
      </c>
      <c r="AC52" s="40" t="s">
        <v>60</v>
      </c>
      <c r="AD52" s="11"/>
      <c r="AE52" s="40"/>
      <c r="AF52" s="40"/>
      <c r="AG52" s="40" t="s">
        <v>60</v>
      </c>
      <c r="AH52" s="40" t="s">
        <v>58</v>
      </c>
      <c r="AI52" s="41" t="s">
        <v>67</v>
      </c>
      <c r="AJ52" s="41" t="s">
        <v>66</v>
      </c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0" t="s">
        <v>74</v>
      </c>
      <c r="BB52" s="29"/>
      <c r="BC52" s="30"/>
      <c r="BD52" s="31"/>
      <c r="BE52" s="31"/>
      <c r="BF52" s="31"/>
      <c r="BG52" s="31"/>
      <c r="BH52" s="32"/>
    </row>
    <row r="53" spans="1:60" ht="43.15">
      <c r="A53" s="75">
        <v>52</v>
      </c>
      <c r="B53" s="43"/>
      <c r="C53" s="18"/>
      <c r="D53" s="18"/>
      <c r="E53" s="18">
        <v>10</v>
      </c>
      <c r="F53" s="18" t="s">
        <v>55</v>
      </c>
      <c r="G53" s="18" t="s">
        <v>106</v>
      </c>
      <c r="H53" s="18" t="s">
        <v>250</v>
      </c>
      <c r="I53" s="39" t="s">
        <v>111</v>
      </c>
      <c r="J53" s="18" t="s">
        <v>58</v>
      </c>
      <c r="K53" s="18" t="s">
        <v>59</v>
      </c>
      <c r="L53" s="66">
        <v>46045</v>
      </c>
      <c r="M53" s="16" t="s">
        <v>60</v>
      </c>
      <c r="N53" s="16" t="s">
        <v>60</v>
      </c>
      <c r="O53" s="19" t="s">
        <v>61</v>
      </c>
      <c r="P53" s="18">
        <v>270583</v>
      </c>
      <c r="Q53" s="18">
        <v>7386229</v>
      </c>
      <c r="R53" s="18">
        <v>270663</v>
      </c>
      <c r="S53" s="18">
        <v>7386222</v>
      </c>
      <c r="T53" s="18" t="s">
        <v>62</v>
      </c>
      <c r="U53" s="16"/>
      <c r="V53" s="20"/>
      <c r="W53" s="40"/>
      <c r="X53" s="40"/>
      <c r="Y53" s="41"/>
      <c r="Z53" s="11" t="s">
        <v>91</v>
      </c>
      <c r="AA53" s="22" t="s">
        <v>251</v>
      </c>
      <c r="AB53" s="42" t="s">
        <v>249</v>
      </c>
      <c r="AC53" s="40" t="s">
        <v>252</v>
      </c>
      <c r="AD53" s="11"/>
      <c r="AE53" s="40"/>
      <c r="AF53" s="40"/>
      <c r="AG53" s="40" t="s">
        <v>60</v>
      </c>
      <c r="AH53" s="40" t="s">
        <v>58</v>
      </c>
      <c r="AI53" s="41" t="s">
        <v>67</v>
      </c>
      <c r="AJ53" s="41" t="s">
        <v>66</v>
      </c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0" t="s">
        <v>74</v>
      </c>
      <c r="BB53" s="29"/>
      <c r="BC53" s="30"/>
      <c r="BD53" s="31"/>
      <c r="BE53" s="31"/>
      <c r="BF53" s="31"/>
      <c r="BG53" s="31"/>
      <c r="BH53" s="32"/>
    </row>
    <row r="54" spans="1:60" ht="28.9">
      <c r="A54" s="75">
        <v>53</v>
      </c>
      <c r="B54" s="43"/>
      <c r="C54" s="18"/>
      <c r="D54" s="18"/>
      <c r="E54" s="18">
        <v>11</v>
      </c>
      <c r="F54" s="18" t="s">
        <v>55</v>
      </c>
      <c r="G54" s="18" t="s">
        <v>106</v>
      </c>
      <c r="H54" s="18" t="s">
        <v>253</v>
      </c>
      <c r="I54" s="39" t="s">
        <v>254</v>
      </c>
      <c r="J54" s="18" t="s">
        <v>58</v>
      </c>
      <c r="K54" s="18" t="s">
        <v>59</v>
      </c>
      <c r="L54" s="66">
        <v>46045</v>
      </c>
      <c r="M54" s="16" t="s">
        <v>60</v>
      </c>
      <c r="N54" s="16" t="s">
        <v>60</v>
      </c>
      <c r="O54" s="19" t="s">
        <v>61</v>
      </c>
      <c r="P54" s="18">
        <v>270687</v>
      </c>
      <c r="Q54" s="18">
        <v>7386204</v>
      </c>
      <c r="R54" s="18">
        <v>270836</v>
      </c>
      <c r="S54" s="18">
        <v>7386374</v>
      </c>
      <c r="T54" s="18" t="s">
        <v>62</v>
      </c>
      <c r="U54" s="18"/>
      <c r="V54" s="20"/>
      <c r="W54" s="40"/>
      <c r="X54" s="40"/>
      <c r="Y54" s="41"/>
      <c r="Z54" s="40" t="s">
        <v>58</v>
      </c>
      <c r="AA54" s="42" t="s">
        <v>255</v>
      </c>
      <c r="AB54" s="42" t="s">
        <v>256</v>
      </c>
      <c r="AC54" s="40" t="s">
        <v>252</v>
      </c>
      <c r="AD54" s="11"/>
      <c r="AE54" s="40"/>
      <c r="AF54" s="40"/>
      <c r="AG54" s="40" t="s">
        <v>60</v>
      </c>
      <c r="AH54" s="40" t="s">
        <v>58</v>
      </c>
      <c r="AI54" s="41" t="s">
        <v>67</v>
      </c>
      <c r="AJ54" s="41" t="s">
        <v>66</v>
      </c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0"/>
      <c r="BB54" s="29"/>
      <c r="BC54" s="30"/>
      <c r="BD54" s="31"/>
      <c r="BE54" s="31"/>
      <c r="BF54" s="31"/>
      <c r="BG54" s="31"/>
      <c r="BH54" s="32"/>
    </row>
    <row r="55" spans="1:60" s="27" customFormat="1" ht="28.9">
      <c r="A55" s="75">
        <v>54</v>
      </c>
      <c r="B55" s="43"/>
      <c r="C55" s="18"/>
      <c r="D55" s="18"/>
      <c r="E55" s="18">
        <v>11</v>
      </c>
      <c r="F55" s="18" t="s">
        <v>55</v>
      </c>
      <c r="G55" s="18" t="s">
        <v>106</v>
      </c>
      <c r="H55" s="18" t="s">
        <v>257</v>
      </c>
      <c r="I55" s="39" t="s">
        <v>258</v>
      </c>
      <c r="J55" s="18" t="s">
        <v>58</v>
      </c>
      <c r="K55" s="18" t="s">
        <v>59</v>
      </c>
      <c r="L55" s="66">
        <v>46045</v>
      </c>
      <c r="M55" s="16" t="s">
        <v>60</v>
      </c>
      <c r="N55" s="16" t="s">
        <v>60</v>
      </c>
      <c r="O55" s="19" t="s">
        <v>61</v>
      </c>
      <c r="P55" s="18">
        <v>270838</v>
      </c>
      <c r="Q55" s="18">
        <v>7386384</v>
      </c>
      <c r="R55" s="18">
        <v>270868</v>
      </c>
      <c r="S55" s="18">
        <v>7386393</v>
      </c>
      <c r="T55" s="18" t="s">
        <v>62</v>
      </c>
      <c r="U55" s="18"/>
      <c r="V55" s="18"/>
      <c r="W55" s="40"/>
      <c r="X55" s="40"/>
      <c r="Y55" s="41"/>
      <c r="Z55" s="40" t="s">
        <v>91</v>
      </c>
      <c r="AA55" s="42" t="s">
        <v>259</v>
      </c>
      <c r="AB55" s="42" t="s">
        <v>260</v>
      </c>
      <c r="AC55" s="40" t="s">
        <v>252</v>
      </c>
      <c r="AD55" s="11"/>
      <c r="AE55" s="40"/>
      <c r="AF55" s="40"/>
      <c r="AG55" s="40" t="s">
        <v>60</v>
      </c>
      <c r="AH55" s="40" t="s">
        <v>58</v>
      </c>
      <c r="AI55" s="41" t="s">
        <v>67</v>
      </c>
      <c r="AJ55" s="41" t="s">
        <v>66</v>
      </c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0"/>
      <c r="BB55" s="23"/>
      <c r="BC55" s="24"/>
      <c r="BD55" s="25"/>
      <c r="BE55" s="25"/>
      <c r="BF55" s="25"/>
      <c r="BG55" s="25"/>
      <c r="BH55" s="26"/>
    </row>
    <row r="56" spans="1:60" s="27" customFormat="1" ht="28.9">
      <c r="A56" s="75">
        <v>55</v>
      </c>
      <c r="B56" s="43"/>
      <c r="C56" s="18"/>
      <c r="D56" s="18"/>
      <c r="E56" s="18">
        <v>11</v>
      </c>
      <c r="F56" s="18" t="s">
        <v>55</v>
      </c>
      <c r="G56" s="18" t="s">
        <v>106</v>
      </c>
      <c r="H56" s="18" t="s">
        <v>261</v>
      </c>
      <c r="I56" s="39" t="s">
        <v>262</v>
      </c>
      <c r="J56" s="18" t="s">
        <v>58</v>
      </c>
      <c r="K56" s="18" t="s">
        <v>59</v>
      </c>
      <c r="L56" s="66">
        <v>46045</v>
      </c>
      <c r="M56" s="16" t="s">
        <v>60</v>
      </c>
      <c r="N56" s="16" t="s">
        <v>60</v>
      </c>
      <c r="O56" s="19" t="s">
        <v>61</v>
      </c>
      <c r="P56" s="18">
        <v>270910</v>
      </c>
      <c r="Q56" s="18">
        <v>7386391</v>
      </c>
      <c r="R56" s="18">
        <v>270950</v>
      </c>
      <c r="S56" s="18">
        <v>7386358</v>
      </c>
      <c r="T56" s="18" t="s">
        <v>62</v>
      </c>
      <c r="U56" s="18"/>
      <c r="V56" s="18"/>
      <c r="W56" s="40"/>
      <c r="X56" s="40"/>
      <c r="Y56" s="41"/>
      <c r="Z56" s="40" t="s">
        <v>71</v>
      </c>
      <c r="AA56" s="42" t="s">
        <v>263</v>
      </c>
      <c r="AB56" s="42" t="s">
        <v>249</v>
      </c>
      <c r="AC56" s="40" t="s">
        <v>252</v>
      </c>
      <c r="AD56" s="11"/>
      <c r="AE56" s="40"/>
      <c r="AF56" s="40"/>
      <c r="AG56" s="40" t="s">
        <v>60</v>
      </c>
      <c r="AH56" s="40" t="s">
        <v>58</v>
      </c>
      <c r="AI56" s="41" t="s">
        <v>67</v>
      </c>
      <c r="AJ56" s="41" t="s">
        <v>66</v>
      </c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0"/>
      <c r="BB56" s="23"/>
      <c r="BC56" s="24"/>
      <c r="BD56" s="25"/>
      <c r="BE56" s="25"/>
      <c r="BF56" s="25"/>
      <c r="BG56" s="25"/>
      <c r="BH56" s="26"/>
    </row>
    <row r="57" spans="1:60" s="27" customFormat="1" ht="100.9">
      <c r="A57" s="75">
        <v>56</v>
      </c>
      <c r="B57" s="43"/>
      <c r="C57" s="18"/>
      <c r="D57" s="18"/>
      <c r="E57" s="18">
        <v>11</v>
      </c>
      <c r="F57" s="18" t="s">
        <v>55</v>
      </c>
      <c r="G57" s="18"/>
      <c r="H57" s="18" t="s">
        <v>264</v>
      </c>
      <c r="I57" s="39" t="s">
        <v>265</v>
      </c>
      <c r="J57" s="18" t="s">
        <v>58</v>
      </c>
      <c r="K57" s="18" t="s">
        <v>59</v>
      </c>
      <c r="L57" s="66">
        <v>46045</v>
      </c>
      <c r="M57" s="16" t="s">
        <v>60</v>
      </c>
      <c r="N57" s="16" t="s">
        <v>60</v>
      </c>
      <c r="O57" s="19" t="s">
        <v>61</v>
      </c>
      <c r="P57" s="18">
        <v>270957</v>
      </c>
      <c r="Q57" s="18">
        <v>7386371</v>
      </c>
      <c r="R57" s="18">
        <v>271020</v>
      </c>
      <c r="S57" s="18">
        <v>7386364</v>
      </c>
      <c r="T57" s="18" t="s">
        <v>62</v>
      </c>
      <c r="U57" s="18"/>
      <c r="V57" s="18"/>
      <c r="W57" s="40"/>
      <c r="X57" s="40"/>
      <c r="Y57" s="41"/>
      <c r="Z57" s="40" t="s">
        <v>91</v>
      </c>
      <c r="AA57" s="42" t="s">
        <v>266</v>
      </c>
      <c r="AB57" s="42" t="s">
        <v>267</v>
      </c>
      <c r="AC57" s="40" t="s">
        <v>252</v>
      </c>
      <c r="AD57" s="11"/>
      <c r="AE57" s="40"/>
      <c r="AF57" s="40"/>
      <c r="AG57" s="40" t="s">
        <v>60</v>
      </c>
      <c r="AH57" s="40" t="s">
        <v>58</v>
      </c>
      <c r="AI57" s="41" t="s">
        <v>67</v>
      </c>
      <c r="AJ57" s="41" t="s">
        <v>66</v>
      </c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0"/>
      <c r="BB57" s="23"/>
      <c r="BC57" s="24"/>
      <c r="BD57" s="25"/>
      <c r="BE57" s="25"/>
      <c r="BF57" s="25"/>
      <c r="BG57" s="25"/>
      <c r="BH57" s="26"/>
    </row>
    <row r="58" spans="1:60" ht="57.6">
      <c r="A58" s="75">
        <v>57</v>
      </c>
      <c r="B58" s="43"/>
      <c r="C58" s="18"/>
      <c r="D58" s="18"/>
      <c r="E58" s="18">
        <v>11</v>
      </c>
      <c r="F58" s="18" t="s">
        <v>55</v>
      </c>
      <c r="G58" s="18" t="s">
        <v>106</v>
      </c>
      <c r="H58" s="18" t="s">
        <v>268</v>
      </c>
      <c r="I58" s="39" t="s">
        <v>70</v>
      </c>
      <c r="J58" s="18" t="s">
        <v>58</v>
      </c>
      <c r="K58" s="18" t="s">
        <v>59</v>
      </c>
      <c r="L58" s="66">
        <v>46045</v>
      </c>
      <c r="M58" s="16" t="s">
        <v>60</v>
      </c>
      <c r="N58" s="16" t="s">
        <v>60</v>
      </c>
      <c r="O58" s="19" t="s">
        <v>61</v>
      </c>
      <c r="P58" s="18">
        <v>271016</v>
      </c>
      <c r="Q58" s="18">
        <v>7386356</v>
      </c>
      <c r="R58" s="18">
        <v>271421</v>
      </c>
      <c r="S58" s="18">
        <v>7386402</v>
      </c>
      <c r="T58" s="18" t="s">
        <v>62</v>
      </c>
      <c r="U58" s="18"/>
      <c r="V58" s="18"/>
      <c r="W58" s="40"/>
      <c r="X58" s="40"/>
      <c r="Y58" s="41"/>
      <c r="Z58" s="40" t="s">
        <v>71</v>
      </c>
      <c r="AA58" s="42" t="s">
        <v>263</v>
      </c>
      <c r="AB58" s="42" t="s">
        <v>269</v>
      </c>
      <c r="AC58" s="40" t="s">
        <v>252</v>
      </c>
      <c r="AD58" s="11"/>
      <c r="AE58" s="40"/>
      <c r="AF58" s="40"/>
      <c r="AG58" s="40" t="s">
        <v>60</v>
      </c>
      <c r="AH58" s="40" t="s">
        <v>58</v>
      </c>
      <c r="AI58" s="41" t="s">
        <v>67</v>
      </c>
      <c r="AJ58" s="41" t="s">
        <v>66</v>
      </c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0"/>
      <c r="BB58" s="29"/>
      <c r="BC58" s="30"/>
      <c r="BD58" s="31"/>
      <c r="BE58" s="31"/>
      <c r="BF58" s="31"/>
      <c r="BG58" s="31"/>
      <c r="BH58" s="32"/>
    </row>
    <row r="59" spans="1:60" ht="64.150000000000006" customHeight="1">
      <c r="A59" s="75">
        <v>58</v>
      </c>
      <c r="B59" s="43"/>
      <c r="C59" s="18"/>
      <c r="D59" s="18"/>
      <c r="E59" s="18">
        <v>11</v>
      </c>
      <c r="F59" s="18" t="s">
        <v>55</v>
      </c>
      <c r="G59" s="18" t="s">
        <v>106</v>
      </c>
      <c r="H59" s="18" t="s">
        <v>270</v>
      </c>
      <c r="I59" s="39" t="s">
        <v>271</v>
      </c>
      <c r="J59" s="18" t="s">
        <v>58</v>
      </c>
      <c r="K59" s="18" t="s">
        <v>59</v>
      </c>
      <c r="L59" s="66">
        <v>46045</v>
      </c>
      <c r="M59" s="16" t="s">
        <v>60</v>
      </c>
      <c r="N59" s="16" t="s">
        <v>60</v>
      </c>
      <c r="O59" s="19" t="s">
        <v>61</v>
      </c>
      <c r="P59" s="18">
        <v>271416</v>
      </c>
      <c r="Q59" s="18">
        <v>7386421</v>
      </c>
      <c r="R59" s="18">
        <v>271487</v>
      </c>
      <c r="S59" s="18">
        <v>7386450</v>
      </c>
      <c r="T59" s="18" t="s">
        <v>62</v>
      </c>
      <c r="U59" s="18"/>
      <c r="V59" s="18"/>
      <c r="W59" s="40"/>
      <c r="X59" s="40"/>
      <c r="Y59" s="41"/>
      <c r="Z59" s="40" t="s">
        <v>91</v>
      </c>
      <c r="AA59" s="42" t="s">
        <v>272</v>
      </c>
      <c r="AB59" s="42" t="s">
        <v>273</v>
      </c>
      <c r="AC59" s="40" t="s">
        <v>67</v>
      </c>
      <c r="AD59" s="11"/>
      <c r="AE59" s="40"/>
      <c r="AF59" s="40"/>
      <c r="AG59" s="42" t="s">
        <v>274</v>
      </c>
      <c r="AH59" s="42" t="s">
        <v>275</v>
      </c>
      <c r="AI59" s="41" t="s">
        <v>67</v>
      </c>
      <c r="AJ59" s="41" t="s">
        <v>66</v>
      </c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0"/>
      <c r="BB59" s="29"/>
      <c r="BC59" s="30"/>
      <c r="BD59" s="31"/>
      <c r="BE59" s="31"/>
      <c r="BF59" s="31"/>
      <c r="BG59" s="31"/>
      <c r="BH59" s="32"/>
    </row>
    <row r="60" spans="1:60" ht="57.6">
      <c r="A60" s="76">
        <v>59</v>
      </c>
      <c r="E60" s="18">
        <v>11</v>
      </c>
      <c r="F60" s="18" t="s">
        <v>55</v>
      </c>
      <c r="G60" s="18" t="s">
        <v>106</v>
      </c>
      <c r="H60" s="30" t="s">
        <v>276</v>
      </c>
      <c r="I60" s="55" t="s">
        <v>70</v>
      </c>
      <c r="J60" s="30" t="s">
        <v>58</v>
      </c>
      <c r="K60" s="30" t="s">
        <v>59</v>
      </c>
      <c r="L60" s="77">
        <v>46049</v>
      </c>
      <c r="M60" s="30" t="s">
        <v>60</v>
      </c>
      <c r="N60" s="30" t="s">
        <v>60</v>
      </c>
      <c r="O60" s="30" t="s">
        <v>61</v>
      </c>
      <c r="P60" s="30">
        <v>271482</v>
      </c>
      <c r="Q60" s="30">
        <v>7386476</v>
      </c>
      <c r="R60" s="30">
        <v>274587</v>
      </c>
      <c r="S60" s="30">
        <v>7386498</v>
      </c>
      <c r="T60" s="18" t="s">
        <v>62</v>
      </c>
      <c r="Z60" s="30" t="s">
        <v>255</v>
      </c>
      <c r="AA60" s="30" t="s">
        <v>255</v>
      </c>
      <c r="AB60" s="55" t="s">
        <v>58</v>
      </c>
      <c r="AC60" s="30" t="s">
        <v>252</v>
      </c>
      <c r="AG60" s="30" t="s">
        <v>60</v>
      </c>
      <c r="AH60" s="30" t="s">
        <v>58</v>
      </c>
      <c r="AI60" s="30" t="s">
        <v>67</v>
      </c>
      <c r="AJ60" s="41" t="s">
        <v>66</v>
      </c>
    </row>
    <row r="61" spans="1:60" ht="57.6">
      <c r="A61" s="75">
        <v>60</v>
      </c>
      <c r="B61" s="43"/>
      <c r="C61" s="18"/>
      <c r="D61" s="18"/>
      <c r="E61" s="18">
        <v>11</v>
      </c>
      <c r="F61" s="18" t="s">
        <v>55</v>
      </c>
      <c r="G61" s="18" t="s">
        <v>106</v>
      </c>
      <c r="H61" s="18" t="s">
        <v>277</v>
      </c>
      <c r="I61" s="39" t="s">
        <v>278</v>
      </c>
      <c r="J61" s="18" t="s">
        <v>58</v>
      </c>
      <c r="K61" s="18" t="s">
        <v>59</v>
      </c>
      <c r="L61" s="66">
        <v>46049</v>
      </c>
      <c r="M61" s="16" t="s">
        <v>60</v>
      </c>
      <c r="N61" s="16" t="s">
        <v>60</v>
      </c>
      <c r="O61" s="19" t="s">
        <v>61</v>
      </c>
      <c r="P61" s="18">
        <v>271591</v>
      </c>
      <c r="Q61" s="18">
        <v>7386501</v>
      </c>
      <c r="R61" s="18">
        <v>271605</v>
      </c>
      <c r="S61" s="18">
        <v>7386522</v>
      </c>
      <c r="T61" s="18" t="s">
        <v>62</v>
      </c>
      <c r="U61" s="18"/>
      <c r="V61" s="18"/>
      <c r="W61" s="40"/>
      <c r="X61" s="40"/>
      <c r="Y61" s="41"/>
      <c r="Z61" s="40" t="s">
        <v>91</v>
      </c>
      <c r="AA61" s="42" t="s">
        <v>279</v>
      </c>
      <c r="AB61" s="42" t="s">
        <v>280</v>
      </c>
      <c r="AC61" s="40" t="s">
        <v>252</v>
      </c>
      <c r="AD61" s="11"/>
      <c r="AE61" s="40"/>
      <c r="AF61" s="40"/>
      <c r="AG61" s="40" t="s">
        <v>60</v>
      </c>
      <c r="AH61" s="40" t="s">
        <v>58</v>
      </c>
      <c r="AI61" s="41" t="s">
        <v>67</v>
      </c>
      <c r="AJ61" s="41" t="s">
        <v>66</v>
      </c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0"/>
      <c r="BB61" s="29"/>
      <c r="BC61" s="30"/>
      <c r="BD61" s="31"/>
      <c r="BE61" s="31"/>
      <c r="BF61" s="31"/>
      <c r="BG61" s="31"/>
      <c r="BH61" s="32"/>
    </row>
    <row r="62" spans="1:60" s="50" customFormat="1" ht="28.9">
      <c r="A62" s="75">
        <v>61</v>
      </c>
      <c r="B62" s="43"/>
      <c r="C62" s="18"/>
      <c r="D62" s="18"/>
      <c r="E62" s="18">
        <v>11</v>
      </c>
      <c r="F62" s="18" t="s">
        <v>55</v>
      </c>
      <c r="G62" s="18" t="s">
        <v>106</v>
      </c>
      <c r="H62" s="18" t="s">
        <v>281</v>
      </c>
      <c r="I62" s="39" t="s">
        <v>282</v>
      </c>
      <c r="J62" s="18" t="s">
        <v>58</v>
      </c>
      <c r="K62" s="18" t="s">
        <v>59</v>
      </c>
      <c r="L62" s="66">
        <v>46049</v>
      </c>
      <c r="M62" s="16" t="s">
        <v>60</v>
      </c>
      <c r="N62" s="16" t="s">
        <v>60</v>
      </c>
      <c r="O62" s="19" t="s">
        <v>61</v>
      </c>
      <c r="P62" s="18">
        <v>271608</v>
      </c>
      <c r="Q62" s="18">
        <v>7386521</v>
      </c>
      <c r="R62" s="18">
        <v>271655</v>
      </c>
      <c r="S62" s="18">
        <v>7386538</v>
      </c>
      <c r="T62" s="18" t="s">
        <v>62</v>
      </c>
      <c r="U62" s="18"/>
      <c r="V62" s="18"/>
      <c r="W62" s="40"/>
      <c r="X62" s="40"/>
      <c r="Y62" s="41"/>
      <c r="Z62" s="40" t="s">
        <v>91</v>
      </c>
      <c r="AA62" s="42" t="s">
        <v>283</v>
      </c>
      <c r="AB62" s="42" t="s">
        <v>284</v>
      </c>
      <c r="AC62" s="40" t="s">
        <v>252</v>
      </c>
      <c r="AD62" s="11"/>
      <c r="AE62" s="40"/>
      <c r="AF62" s="40"/>
      <c r="AG62" s="40" t="s">
        <v>60</v>
      </c>
      <c r="AH62" s="40" t="s">
        <v>58</v>
      </c>
      <c r="AI62" s="41" t="s">
        <v>67</v>
      </c>
      <c r="AJ62" s="41" t="s">
        <v>66</v>
      </c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0"/>
      <c r="BB62" s="46"/>
      <c r="BC62" s="47"/>
      <c r="BD62" s="48"/>
      <c r="BE62" s="48"/>
      <c r="BF62" s="48"/>
      <c r="BG62" s="48"/>
      <c r="BH62" s="49"/>
    </row>
    <row r="63" spans="1:60" ht="43.15">
      <c r="A63" s="75">
        <v>62</v>
      </c>
      <c r="B63" s="43"/>
      <c r="C63" s="18"/>
      <c r="D63" s="18"/>
      <c r="E63" s="18">
        <v>11</v>
      </c>
      <c r="F63" s="18" t="s">
        <v>55</v>
      </c>
      <c r="G63" s="18" t="s">
        <v>106</v>
      </c>
      <c r="H63" s="18" t="s">
        <v>285</v>
      </c>
      <c r="I63" s="39" t="s">
        <v>286</v>
      </c>
      <c r="J63" s="18" t="s">
        <v>58</v>
      </c>
      <c r="K63" s="18" t="s">
        <v>59</v>
      </c>
      <c r="L63" s="66">
        <v>46049</v>
      </c>
      <c r="M63" s="16" t="s">
        <v>60</v>
      </c>
      <c r="N63" s="16" t="s">
        <v>60</v>
      </c>
      <c r="O63" s="19" t="s">
        <v>61</v>
      </c>
      <c r="P63" s="18">
        <v>271639</v>
      </c>
      <c r="Q63" s="18">
        <v>7386550</v>
      </c>
      <c r="R63" s="18">
        <v>271674</v>
      </c>
      <c r="S63" s="18">
        <v>7386577</v>
      </c>
      <c r="T63" s="18" t="s">
        <v>62</v>
      </c>
      <c r="U63" s="18"/>
      <c r="V63" s="18"/>
      <c r="W63" s="40"/>
      <c r="X63" s="40"/>
      <c r="Y63" s="41"/>
      <c r="Z63" s="40" t="s">
        <v>91</v>
      </c>
      <c r="AA63" s="42" t="s">
        <v>287</v>
      </c>
      <c r="AB63" s="42" t="s">
        <v>288</v>
      </c>
      <c r="AC63" s="40" t="s">
        <v>252</v>
      </c>
      <c r="AD63" s="11"/>
      <c r="AE63" s="40"/>
      <c r="AF63" s="40"/>
      <c r="AG63" s="40" t="s">
        <v>60</v>
      </c>
      <c r="AH63" s="40" t="s">
        <v>58</v>
      </c>
      <c r="AI63" s="41" t="s">
        <v>67</v>
      </c>
      <c r="AJ63" s="41" t="s">
        <v>66</v>
      </c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0"/>
      <c r="BB63" s="29"/>
      <c r="BC63" s="30"/>
      <c r="BD63" s="31"/>
      <c r="BE63" s="31"/>
      <c r="BF63" s="31"/>
      <c r="BG63" s="31"/>
      <c r="BH63" s="32"/>
    </row>
    <row r="64" spans="1:60" ht="86.45">
      <c r="A64" s="75">
        <v>63</v>
      </c>
      <c r="B64" s="43"/>
      <c r="C64" s="18"/>
      <c r="D64" s="18"/>
      <c r="E64" s="18">
        <v>11</v>
      </c>
      <c r="F64" s="18" t="s">
        <v>55</v>
      </c>
      <c r="G64" s="18" t="s">
        <v>106</v>
      </c>
      <c r="H64" s="18" t="s">
        <v>289</v>
      </c>
      <c r="I64" s="39" t="s">
        <v>290</v>
      </c>
      <c r="J64" s="18" t="s">
        <v>58</v>
      </c>
      <c r="K64" s="18" t="s">
        <v>59</v>
      </c>
      <c r="L64" s="66">
        <v>46049</v>
      </c>
      <c r="M64" s="16" t="s">
        <v>60</v>
      </c>
      <c r="N64" s="16" t="s">
        <v>60</v>
      </c>
      <c r="O64" s="19" t="s">
        <v>61</v>
      </c>
      <c r="P64" s="18">
        <v>271674</v>
      </c>
      <c r="Q64" s="18">
        <v>7386577</v>
      </c>
      <c r="R64" s="18">
        <v>271735</v>
      </c>
      <c r="S64" s="18">
        <v>7386635</v>
      </c>
      <c r="T64" s="18" t="s">
        <v>62</v>
      </c>
      <c r="U64" s="18"/>
      <c r="V64" s="18"/>
      <c r="W64" s="40"/>
      <c r="X64" s="40"/>
      <c r="Y64" s="41"/>
      <c r="Z64" s="40" t="s">
        <v>91</v>
      </c>
      <c r="AA64" s="42" t="s">
        <v>291</v>
      </c>
      <c r="AB64" s="42" t="s">
        <v>292</v>
      </c>
      <c r="AC64" s="40" t="s">
        <v>252</v>
      </c>
      <c r="AD64" s="11"/>
      <c r="AE64" s="40"/>
      <c r="AF64" s="40"/>
      <c r="AG64" s="40" t="s">
        <v>60</v>
      </c>
      <c r="AH64" s="40" t="s">
        <v>58</v>
      </c>
      <c r="AI64" s="41" t="s">
        <v>67</v>
      </c>
      <c r="AJ64" s="41" t="s">
        <v>66</v>
      </c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0"/>
      <c r="BB64" s="29"/>
      <c r="BC64" s="30"/>
      <c r="BD64" s="31"/>
      <c r="BE64" s="31"/>
      <c r="BF64" s="31"/>
      <c r="BG64" s="31"/>
      <c r="BH64" s="32"/>
    </row>
    <row r="65" spans="1:60" ht="43.15">
      <c r="A65" s="75">
        <v>64</v>
      </c>
      <c r="B65" s="43"/>
      <c r="C65" s="18"/>
      <c r="D65" s="18"/>
      <c r="E65" s="18">
        <v>11</v>
      </c>
      <c r="F65" s="18" t="s">
        <v>55</v>
      </c>
      <c r="G65" s="18" t="s">
        <v>106</v>
      </c>
      <c r="H65" s="18" t="s">
        <v>293</v>
      </c>
      <c r="I65" s="39" t="s">
        <v>294</v>
      </c>
      <c r="J65" s="18" t="s">
        <v>58</v>
      </c>
      <c r="K65" s="18" t="s">
        <v>59</v>
      </c>
      <c r="L65" s="66">
        <v>46049</v>
      </c>
      <c r="M65" s="16" t="s">
        <v>60</v>
      </c>
      <c r="N65" s="16" t="s">
        <v>60</v>
      </c>
      <c r="O65" s="19" t="s">
        <v>61</v>
      </c>
      <c r="P65" s="18">
        <v>271735</v>
      </c>
      <c r="Q65" s="18">
        <v>7386632</v>
      </c>
      <c r="R65" s="18">
        <v>271764</v>
      </c>
      <c r="S65" s="18">
        <v>7386673</v>
      </c>
      <c r="T65" s="18" t="s">
        <v>62</v>
      </c>
      <c r="U65" s="18"/>
      <c r="V65" s="18"/>
      <c r="W65" s="40"/>
      <c r="X65" s="40"/>
      <c r="Y65" s="41"/>
      <c r="Z65" s="40" t="s">
        <v>91</v>
      </c>
      <c r="AA65" s="42" t="s">
        <v>295</v>
      </c>
      <c r="AB65" s="42" t="s">
        <v>296</v>
      </c>
      <c r="AC65" s="40" t="s">
        <v>252</v>
      </c>
      <c r="AD65" s="11"/>
      <c r="AE65" s="40"/>
      <c r="AF65" s="40"/>
      <c r="AG65" s="40" t="s">
        <v>60</v>
      </c>
      <c r="AH65" s="40" t="s">
        <v>58</v>
      </c>
      <c r="AI65" s="41" t="s">
        <v>67</v>
      </c>
      <c r="AJ65" s="41" t="s">
        <v>66</v>
      </c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0"/>
      <c r="BB65" s="29"/>
      <c r="BC65" s="30"/>
      <c r="BD65" s="31"/>
      <c r="BE65" s="31"/>
      <c r="BF65" s="31"/>
      <c r="BG65" s="31"/>
      <c r="BH65" s="32"/>
    </row>
    <row r="66" spans="1:60">
      <c r="A66" s="75">
        <v>65</v>
      </c>
      <c r="B66" s="43"/>
      <c r="C66" s="18"/>
      <c r="D66" s="18"/>
      <c r="E66" s="18">
        <v>11</v>
      </c>
      <c r="F66" s="18" t="s">
        <v>55</v>
      </c>
      <c r="G66" s="18" t="s">
        <v>106</v>
      </c>
      <c r="H66" s="18" t="s">
        <v>297</v>
      </c>
      <c r="I66" s="39" t="s">
        <v>111</v>
      </c>
      <c r="J66" s="18" t="s">
        <v>58</v>
      </c>
      <c r="K66" s="18" t="s">
        <v>59</v>
      </c>
      <c r="L66" s="66">
        <v>46049</v>
      </c>
      <c r="M66" s="16" t="s">
        <v>60</v>
      </c>
      <c r="N66" s="16" t="s">
        <v>60</v>
      </c>
      <c r="O66" s="19" t="s">
        <v>61</v>
      </c>
      <c r="P66" s="18">
        <v>271758</v>
      </c>
      <c r="Q66" s="78">
        <v>7386678</v>
      </c>
      <c r="R66" s="78">
        <v>271772</v>
      </c>
      <c r="S66" s="18">
        <v>7386700</v>
      </c>
      <c r="T66" s="18" t="s">
        <v>62</v>
      </c>
      <c r="U66" s="18"/>
      <c r="V66" s="18"/>
      <c r="W66" s="40"/>
      <c r="X66" s="40"/>
      <c r="Y66" s="41"/>
      <c r="Z66" s="40" t="s">
        <v>71</v>
      </c>
      <c r="AA66" s="42" t="s">
        <v>100</v>
      </c>
      <c r="AB66" s="42" t="s">
        <v>298</v>
      </c>
      <c r="AC66" s="40" t="s">
        <v>252</v>
      </c>
      <c r="AD66" s="11"/>
      <c r="AE66" s="40"/>
      <c r="AF66" s="40"/>
      <c r="AG66" s="40" t="s">
        <v>60</v>
      </c>
      <c r="AH66" s="40" t="s">
        <v>58</v>
      </c>
      <c r="AI66" s="41" t="s">
        <v>67</v>
      </c>
      <c r="AJ66" s="41" t="s">
        <v>66</v>
      </c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0"/>
      <c r="BB66" s="29"/>
      <c r="BC66" s="30"/>
      <c r="BD66" s="31"/>
      <c r="BE66" s="31"/>
      <c r="BF66" s="31"/>
      <c r="BG66" s="31"/>
      <c r="BH66" s="32"/>
    </row>
    <row r="67" spans="1:60">
      <c r="A67" s="75">
        <v>66</v>
      </c>
      <c r="B67" s="43"/>
      <c r="C67" s="18"/>
      <c r="D67" s="18"/>
      <c r="E67" s="18">
        <v>11</v>
      </c>
      <c r="F67" s="18" t="s">
        <v>55</v>
      </c>
      <c r="G67" s="18" t="s">
        <v>106</v>
      </c>
      <c r="H67" s="18" t="s">
        <v>299</v>
      </c>
      <c r="I67" s="39" t="s">
        <v>300</v>
      </c>
      <c r="J67" s="18" t="s">
        <v>58</v>
      </c>
      <c r="K67" s="18" t="s">
        <v>59</v>
      </c>
      <c r="L67" s="66">
        <v>46049</v>
      </c>
      <c r="M67" s="16" t="s">
        <v>60</v>
      </c>
      <c r="N67" s="16" t="s">
        <v>60</v>
      </c>
      <c r="O67" s="19" t="s">
        <v>61</v>
      </c>
      <c r="P67" s="18">
        <v>271771</v>
      </c>
      <c r="Q67" s="18">
        <v>7386727</v>
      </c>
      <c r="R67" s="18">
        <v>271771</v>
      </c>
      <c r="S67" s="18">
        <v>7386727</v>
      </c>
      <c r="T67" s="18" t="s">
        <v>62</v>
      </c>
      <c r="U67" s="18"/>
      <c r="V67" s="18"/>
      <c r="W67" s="40"/>
      <c r="X67" s="40"/>
      <c r="Y67" s="41"/>
      <c r="Z67" s="40" t="s">
        <v>71</v>
      </c>
      <c r="AA67" s="42" t="s">
        <v>100</v>
      </c>
      <c r="AB67" s="42" t="s">
        <v>301</v>
      </c>
      <c r="AC67" s="40" t="s">
        <v>252</v>
      </c>
      <c r="AD67" s="11"/>
      <c r="AE67" s="40"/>
      <c r="AF67" s="40"/>
      <c r="AG67" s="40" t="s">
        <v>60</v>
      </c>
      <c r="AH67" s="40" t="s">
        <v>58</v>
      </c>
      <c r="AI67" s="41" t="s">
        <v>67</v>
      </c>
      <c r="AJ67" s="41" t="s">
        <v>66</v>
      </c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0"/>
      <c r="BB67" s="29"/>
      <c r="BC67" s="30"/>
      <c r="BD67" s="31"/>
      <c r="BE67" s="31"/>
      <c r="BF67" s="31"/>
      <c r="BG67" s="31"/>
      <c r="BH67" s="32"/>
    </row>
    <row r="68" spans="1:60" s="34" customFormat="1" ht="28.9">
      <c r="A68" s="75">
        <v>67</v>
      </c>
      <c r="B68" s="43"/>
      <c r="C68" s="18"/>
      <c r="D68" s="18"/>
      <c r="E68" s="18">
        <v>11</v>
      </c>
      <c r="F68" s="18" t="s">
        <v>55</v>
      </c>
      <c r="G68" s="18" t="s">
        <v>106</v>
      </c>
      <c r="H68" s="18" t="s">
        <v>302</v>
      </c>
      <c r="I68" s="39" t="s">
        <v>303</v>
      </c>
      <c r="J68" s="18" t="s">
        <v>58</v>
      </c>
      <c r="K68" s="18" t="s">
        <v>59</v>
      </c>
      <c r="L68" s="66">
        <v>46049</v>
      </c>
      <c r="M68" s="16" t="s">
        <v>60</v>
      </c>
      <c r="N68" s="16" t="s">
        <v>60</v>
      </c>
      <c r="O68" s="19" t="s">
        <v>61</v>
      </c>
      <c r="P68" s="18">
        <v>271771</v>
      </c>
      <c r="Q68" s="18">
        <v>7386727</v>
      </c>
      <c r="R68" s="18">
        <v>271772</v>
      </c>
      <c r="S68" s="18">
        <v>7386734</v>
      </c>
      <c r="T68" s="18" t="s">
        <v>62</v>
      </c>
      <c r="U68" s="18"/>
      <c r="V68" s="18"/>
      <c r="W68" s="40"/>
      <c r="X68" s="40"/>
      <c r="Y68" s="41"/>
      <c r="Z68" s="40" t="s">
        <v>71</v>
      </c>
      <c r="AA68" s="42" t="s">
        <v>304</v>
      </c>
      <c r="AB68" s="42" t="s">
        <v>305</v>
      </c>
      <c r="AC68" s="40" t="s">
        <v>252</v>
      </c>
      <c r="AD68" s="11"/>
      <c r="AE68" s="40"/>
      <c r="AF68" s="40"/>
      <c r="AG68" s="40" t="s">
        <v>60</v>
      </c>
      <c r="AH68" s="40" t="s">
        <v>58</v>
      </c>
      <c r="AI68" s="41" t="s">
        <v>67</v>
      </c>
      <c r="AJ68" s="41" t="s">
        <v>66</v>
      </c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0"/>
      <c r="BB68" s="51"/>
      <c r="BC68" s="52"/>
      <c r="BD68" s="53"/>
      <c r="BE68" s="53"/>
      <c r="BF68" s="53"/>
      <c r="BG68" s="53"/>
      <c r="BH68" s="54"/>
    </row>
    <row r="69" spans="1:60" ht="28.9">
      <c r="A69" s="75">
        <v>68</v>
      </c>
      <c r="B69" s="43"/>
      <c r="C69" s="18"/>
      <c r="D69" s="18"/>
      <c r="E69" s="18">
        <v>11</v>
      </c>
      <c r="F69" s="18" t="s">
        <v>55</v>
      </c>
      <c r="G69" s="18" t="s">
        <v>106</v>
      </c>
      <c r="H69" s="18" t="s">
        <v>306</v>
      </c>
      <c r="I69" s="39" t="s">
        <v>307</v>
      </c>
      <c r="J69" s="18" t="s">
        <v>58</v>
      </c>
      <c r="K69" s="18" t="s">
        <v>59</v>
      </c>
      <c r="L69" s="66">
        <v>46049</v>
      </c>
      <c r="M69" s="16" t="s">
        <v>60</v>
      </c>
      <c r="N69" s="16" t="s">
        <v>60</v>
      </c>
      <c r="O69" s="19" t="s">
        <v>61</v>
      </c>
      <c r="P69" s="18">
        <v>271793</v>
      </c>
      <c r="Q69" s="18">
        <v>7386750</v>
      </c>
      <c r="R69" s="18">
        <v>271778</v>
      </c>
      <c r="S69" s="18">
        <v>7386776</v>
      </c>
      <c r="T69" s="18" t="s">
        <v>62</v>
      </c>
      <c r="U69" s="18"/>
      <c r="V69" s="18"/>
      <c r="W69" s="40"/>
      <c r="X69" s="40"/>
      <c r="Y69" s="41"/>
      <c r="Z69" s="40" t="s">
        <v>91</v>
      </c>
      <c r="AA69" s="42" t="s">
        <v>308</v>
      </c>
      <c r="AB69" s="42" t="s">
        <v>309</v>
      </c>
      <c r="AC69" s="40" t="s">
        <v>252</v>
      </c>
      <c r="AD69" s="11"/>
      <c r="AE69" s="40"/>
      <c r="AF69" s="40"/>
      <c r="AG69" s="40" t="s">
        <v>60</v>
      </c>
      <c r="AH69" s="40" t="s">
        <v>58</v>
      </c>
      <c r="AI69" s="41" t="s">
        <v>67</v>
      </c>
      <c r="AJ69" s="41" t="s">
        <v>66</v>
      </c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0"/>
      <c r="BB69" s="29"/>
      <c r="BC69" s="30"/>
      <c r="BD69" s="31"/>
      <c r="BE69" s="31"/>
      <c r="BF69" s="31"/>
      <c r="BG69" s="31"/>
      <c r="BH69" s="32"/>
    </row>
    <row r="70" spans="1:60" ht="43.15">
      <c r="A70" s="75">
        <v>69</v>
      </c>
      <c r="B70" s="43"/>
      <c r="C70" s="18"/>
      <c r="D70" s="18"/>
      <c r="E70" s="18">
        <v>11</v>
      </c>
      <c r="F70" s="18" t="s">
        <v>55</v>
      </c>
      <c r="G70" s="18" t="s">
        <v>106</v>
      </c>
      <c r="H70" s="18" t="s">
        <v>310</v>
      </c>
      <c r="I70" s="39" t="s">
        <v>173</v>
      </c>
      <c r="J70" s="18" t="s">
        <v>58</v>
      </c>
      <c r="K70" s="18" t="s">
        <v>59</v>
      </c>
      <c r="L70" s="66">
        <v>46049</v>
      </c>
      <c r="M70" s="16" t="s">
        <v>60</v>
      </c>
      <c r="N70" s="16" t="s">
        <v>60</v>
      </c>
      <c r="O70" s="19" t="s">
        <v>61</v>
      </c>
      <c r="P70" s="18">
        <v>272067</v>
      </c>
      <c r="Q70" s="18">
        <v>7386767</v>
      </c>
      <c r="R70" s="18">
        <v>271698</v>
      </c>
      <c r="S70" s="18">
        <v>7386893</v>
      </c>
      <c r="T70" s="18" t="s">
        <v>62</v>
      </c>
      <c r="U70" s="18"/>
      <c r="V70" s="18"/>
      <c r="W70" s="40"/>
      <c r="X70" s="40"/>
      <c r="Y70" s="41"/>
      <c r="Z70" s="40" t="s">
        <v>91</v>
      </c>
      <c r="AA70" s="42" t="s">
        <v>311</v>
      </c>
      <c r="AB70" s="42" t="s">
        <v>312</v>
      </c>
      <c r="AC70" s="40" t="s">
        <v>252</v>
      </c>
      <c r="AD70" s="11"/>
      <c r="AE70" s="40"/>
      <c r="AF70" s="40"/>
      <c r="AG70" s="40" t="s">
        <v>60</v>
      </c>
      <c r="AH70" s="40" t="s">
        <v>58</v>
      </c>
      <c r="AI70" s="41" t="s">
        <v>67</v>
      </c>
      <c r="AJ70" s="41" t="s">
        <v>66</v>
      </c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0"/>
      <c r="BB70" s="29"/>
      <c r="BC70" s="30"/>
      <c r="BD70" s="31"/>
      <c r="BE70" s="31"/>
      <c r="BF70" s="31"/>
      <c r="BG70" s="31"/>
      <c r="BH70" s="32"/>
    </row>
    <row r="71" spans="1:60" ht="57.6">
      <c r="A71" s="75">
        <v>70</v>
      </c>
      <c r="B71" s="43"/>
      <c r="C71" s="18"/>
      <c r="D71" s="18"/>
      <c r="E71" s="18">
        <v>11</v>
      </c>
      <c r="F71" s="18" t="s">
        <v>55</v>
      </c>
      <c r="G71" s="18" t="s">
        <v>106</v>
      </c>
      <c r="H71" s="18" t="s">
        <v>313</v>
      </c>
      <c r="I71" s="39" t="s">
        <v>111</v>
      </c>
      <c r="J71" s="18" t="s">
        <v>58</v>
      </c>
      <c r="K71" s="18" t="s">
        <v>59</v>
      </c>
      <c r="L71" s="66">
        <v>46049</v>
      </c>
      <c r="M71" s="16" t="s">
        <v>60</v>
      </c>
      <c r="N71" s="16" t="s">
        <v>60</v>
      </c>
      <c r="O71" s="19" t="s">
        <v>61</v>
      </c>
      <c r="P71" s="18">
        <v>271697</v>
      </c>
      <c r="Q71" s="18">
        <v>7386884</v>
      </c>
      <c r="R71" s="18">
        <v>271668</v>
      </c>
      <c r="S71" s="18">
        <v>7386890</v>
      </c>
      <c r="T71" s="18" t="s">
        <v>62</v>
      </c>
      <c r="U71" s="18"/>
      <c r="V71" s="18"/>
      <c r="W71" s="40"/>
      <c r="X71" s="40"/>
      <c r="Y71" s="41"/>
      <c r="Z71" s="40" t="s">
        <v>91</v>
      </c>
      <c r="AA71" s="42" t="s">
        <v>314</v>
      </c>
      <c r="AB71" s="42" t="s">
        <v>315</v>
      </c>
      <c r="AC71" s="40" t="s">
        <v>252</v>
      </c>
      <c r="AD71" s="11"/>
      <c r="AE71" s="40"/>
      <c r="AF71" s="40"/>
      <c r="AG71" s="40" t="s">
        <v>60</v>
      </c>
      <c r="AH71" s="40" t="s">
        <v>58</v>
      </c>
      <c r="AI71" s="41" t="s">
        <v>67</v>
      </c>
      <c r="AJ71" s="41" t="s">
        <v>66</v>
      </c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0"/>
      <c r="BB71" s="29"/>
      <c r="BC71" s="30"/>
      <c r="BD71" s="31"/>
      <c r="BE71" s="31"/>
      <c r="BF71" s="31"/>
      <c r="BG71" s="31"/>
      <c r="BH71" s="32"/>
    </row>
    <row r="72" spans="1:60" ht="28.9">
      <c r="A72" s="75">
        <v>71</v>
      </c>
      <c r="B72" s="43"/>
      <c r="C72" s="18"/>
      <c r="D72" s="18"/>
      <c r="E72" s="18">
        <v>11</v>
      </c>
      <c r="F72" s="18" t="s">
        <v>55</v>
      </c>
      <c r="G72" s="18" t="s">
        <v>106</v>
      </c>
      <c r="H72" s="18" t="s">
        <v>316</v>
      </c>
      <c r="I72" s="39" t="s">
        <v>303</v>
      </c>
      <c r="J72" s="18" t="s">
        <v>58</v>
      </c>
      <c r="K72" s="18" t="s">
        <v>59</v>
      </c>
      <c r="L72" s="66">
        <v>46049</v>
      </c>
      <c r="M72" s="16" t="s">
        <v>60</v>
      </c>
      <c r="N72" s="16" t="s">
        <v>60</v>
      </c>
      <c r="O72" s="19" t="s">
        <v>61</v>
      </c>
      <c r="P72" s="18">
        <v>271665</v>
      </c>
      <c r="Q72" s="18">
        <v>7386892</v>
      </c>
      <c r="R72" s="18">
        <v>271660</v>
      </c>
      <c r="S72" s="18">
        <v>7386891</v>
      </c>
      <c r="T72" s="18" t="s">
        <v>62</v>
      </c>
      <c r="U72" s="18"/>
      <c r="V72" s="18"/>
      <c r="W72" s="40"/>
      <c r="X72" s="40"/>
      <c r="Y72" s="41"/>
      <c r="Z72" s="40" t="s">
        <v>71</v>
      </c>
      <c r="AA72" s="42" t="s">
        <v>304</v>
      </c>
      <c r="AB72" s="42" t="s">
        <v>317</v>
      </c>
      <c r="AC72" s="40" t="s">
        <v>252</v>
      </c>
      <c r="AD72" s="11"/>
      <c r="AE72" s="40"/>
      <c r="AF72" s="40"/>
      <c r="AG72" s="40" t="s">
        <v>60</v>
      </c>
      <c r="AH72" s="40" t="s">
        <v>58</v>
      </c>
      <c r="AI72" s="41" t="s">
        <v>67</v>
      </c>
      <c r="AJ72" s="41" t="s">
        <v>66</v>
      </c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0"/>
      <c r="BB72" s="29"/>
      <c r="BC72" s="30"/>
      <c r="BD72" s="31"/>
      <c r="BE72" s="31"/>
      <c r="BF72" s="31"/>
      <c r="BG72" s="31"/>
      <c r="BH72" s="32"/>
    </row>
    <row r="73" spans="1:60" ht="57.6">
      <c r="A73" s="75">
        <v>72</v>
      </c>
      <c r="B73" s="43"/>
      <c r="C73" s="18"/>
      <c r="D73" s="18"/>
      <c r="E73" s="18">
        <v>11</v>
      </c>
      <c r="F73" s="18" t="s">
        <v>55</v>
      </c>
      <c r="G73" s="18" t="s">
        <v>106</v>
      </c>
      <c r="H73" s="18" t="s">
        <v>318</v>
      </c>
      <c r="I73" s="39" t="s">
        <v>70</v>
      </c>
      <c r="J73" s="18" t="s">
        <v>58</v>
      </c>
      <c r="K73" s="18" t="s">
        <v>59</v>
      </c>
      <c r="L73" s="66">
        <v>46049</v>
      </c>
      <c r="M73" s="16" t="s">
        <v>60</v>
      </c>
      <c r="N73" s="16" t="s">
        <v>60</v>
      </c>
      <c r="O73" s="19" t="s">
        <v>61</v>
      </c>
      <c r="P73" s="18">
        <v>271658</v>
      </c>
      <c r="Q73" s="18">
        <v>7386890</v>
      </c>
      <c r="R73" s="18">
        <v>271630</v>
      </c>
      <c r="S73" s="18">
        <v>7386911</v>
      </c>
      <c r="T73" s="18" t="s">
        <v>62</v>
      </c>
      <c r="U73" s="18"/>
      <c r="V73" s="18"/>
      <c r="W73" s="40"/>
      <c r="X73" s="40"/>
      <c r="Y73" s="41"/>
      <c r="Z73" s="40" t="s">
        <v>91</v>
      </c>
      <c r="AA73" s="42" t="s">
        <v>72</v>
      </c>
      <c r="AB73" s="42" t="s">
        <v>319</v>
      </c>
      <c r="AC73" s="40" t="s">
        <v>252</v>
      </c>
      <c r="AD73" s="11"/>
      <c r="AE73" s="40"/>
      <c r="AF73" s="40"/>
      <c r="AG73" s="40" t="s">
        <v>60</v>
      </c>
      <c r="AH73" s="40" t="s">
        <v>58</v>
      </c>
      <c r="AI73" s="41" t="s">
        <v>67</v>
      </c>
      <c r="AJ73" s="41" t="s">
        <v>66</v>
      </c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0"/>
      <c r="BB73" s="29"/>
      <c r="BC73" s="30"/>
      <c r="BD73" s="31"/>
      <c r="BE73" s="31"/>
      <c r="BF73" s="31"/>
      <c r="BG73" s="31"/>
      <c r="BH73" s="32"/>
    </row>
    <row r="74" spans="1:60" ht="43.15">
      <c r="A74" s="75">
        <v>73</v>
      </c>
      <c r="B74" s="43"/>
      <c r="C74" s="18"/>
      <c r="D74" s="18"/>
      <c r="E74" s="18">
        <v>11</v>
      </c>
      <c r="F74" s="18" t="s">
        <v>55</v>
      </c>
      <c r="G74" s="18" t="s">
        <v>106</v>
      </c>
      <c r="H74" s="18" t="s">
        <v>320</v>
      </c>
      <c r="I74" s="39" t="s">
        <v>321</v>
      </c>
      <c r="J74" s="18" t="s">
        <v>58</v>
      </c>
      <c r="K74" s="18" t="s">
        <v>59</v>
      </c>
      <c r="L74" s="66">
        <v>46049</v>
      </c>
      <c r="M74" s="16" t="s">
        <v>60</v>
      </c>
      <c r="N74" s="16" t="s">
        <v>60</v>
      </c>
      <c r="O74" s="19" t="s">
        <v>61</v>
      </c>
      <c r="P74" s="18">
        <v>271620</v>
      </c>
      <c r="Q74" s="18">
        <v>7386947</v>
      </c>
      <c r="R74" s="18">
        <v>271569</v>
      </c>
      <c r="S74" s="18">
        <v>7386935</v>
      </c>
      <c r="T74" s="18" t="s">
        <v>62</v>
      </c>
      <c r="U74" s="18"/>
      <c r="V74" s="18"/>
      <c r="W74" s="40"/>
      <c r="X74" s="40"/>
      <c r="Y74" s="41"/>
      <c r="Z74" s="40" t="s">
        <v>91</v>
      </c>
      <c r="AA74" s="42" t="s">
        <v>322</v>
      </c>
      <c r="AB74" s="42" t="s">
        <v>323</v>
      </c>
      <c r="AC74" s="40" t="s">
        <v>252</v>
      </c>
      <c r="AD74" s="11"/>
      <c r="AE74" s="40"/>
      <c r="AF74" s="40"/>
      <c r="AG74" s="40" t="s">
        <v>60</v>
      </c>
      <c r="AH74" s="40" t="s">
        <v>58</v>
      </c>
      <c r="AI74" s="41" t="s">
        <v>67</v>
      </c>
      <c r="AJ74" s="41" t="s">
        <v>66</v>
      </c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0"/>
      <c r="BB74" s="29"/>
      <c r="BC74" s="30"/>
      <c r="BD74" s="31"/>
      <c r="BE74" s="31"/>
      <c r="BF74" s="31"/>
      <c r="BG74" s="31"/>
      <c r="BH74" s="32"/>
    </row>
    <row r="75" spans="1:60" s="27" customFormat="1" ht="43.15">
      <c r="A75" s="75">
        <v>74</v>
      </c>
      <c r="B75" s="43"/>
      <c r="C75" s="18"/>
      <c r="D75" s="18"/>
      <c r="E75" s="18">
        <v>11</v>
      </c>
      <c r="F75" s="18" t="s">
        <v>55</v>
      </c>
      <c r="G75" s="18" t="s">
        <v>106</v>
      </c>
      <c r="H75" s="18" t="s">
        <v>324</v>
      </c>
      <c r="I75" s="39" t="s">
        <v>325</v>
      </c>
      <c r="J75" s="18" t="s">
        <v>58</v>
      </c>
      <c r="K75" s="18" t="s">
        <v>59</v>
      </c>
      <c r="L75" s="66">
        <v>46049</v>
      </c>
      <c r="M75" s="16" t="s">
        <v>60</v>
      </c>
      <c r="N75" s="16" t="s">
        <v>60</v>
      </c>
      <c r="O75" s="19" t="s">
        <v>61</v>
      </c>
      <c r="P75" s="18">
        <v>271562</v>
      </c>
      <c r="Q75" s="18">
        <v>7386936</v>
      </c>
      <c r="R75" s="18">
        <v>271533</v>
      </c>
      <c r="S75" s="18">
        <v>7386951</v>
      </c>
      <c r="T75" s="18" t="s">
        <v>62</v>
      </c>
      <c r="U75" s="18"/>
      <c r="V75" s="18"/>
      <c r="W75" s="40"/>
      <c r="X75" s="40"/>
      <c r="Y75" s="41"/>
      <c r="Z75" s="40" t="s">
        <v>91</v>
      </c>
      <c r="AA75" s="42" t="s">
        <v>326</v>
      </c>
      <c r="AB75" s="42" t="s">
        <v>327</v>
      </c>
      <c r="AC75" s="40" t="s">
        <v>252</v>
      </c>
      <c r="AD75" s="11"/>
      <c r="AE75" s="40"/>
      <c r="AF75" s="40"/>
      <c r="AG75" s="40" t="s">
        <v>60</v>
      </c>
      <c r="AH75" s="40" t="s">
        <v>58</v>
      </c>
      <c r="AI75" s="41" t="s">
        <v>67</v>
      </c>
      <c r="AJ75" s="41" t="s">
        <v>66</v>
      </c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0"/>
      <c r="BB75" s="23"/>
      <c r="BC75" s="24"/>
      <c r="BD75" s="25"/>
      <c r="BE75" s="25"/>
      <c r="BF75" s="25"/>
      <c r="BG75" s="25"/>
      <c r="BH75" s="26"/>
    </row>
    <row r="76" spans="1:60">
      <c r="A76" s="75">
        <v>75</v>
      </c>
      <c r="B76" s="43"/>
      <c r="C76" s="18"/>
      <c r="D76" s="18"/>
      <c r="E76" s="18">
        <v>11</v>
      </c>
      <c r="F76" s="18" t="s">
        <v>55</v>
      </c>
      <c r="G76" s="18" t="s">
        <v>106</v>
      </c>
      <c r="H76" s="18" t="s">
        <v>328</v>
      </c>
      <c r="I76" s="39" t="s">
        <v>111</v>
      </c>
      <c r="J76" s="18" t="s">
        <v>58</v>
      </c>
      <c r="K76" s="18" t="s">
        <v>59</v>
      </c>
      <c r="L76" s="66">
        <v>46050</v>
      </c>
      <c r="M76" s="16" t="s">
        <v>60</v>
      </c>
      <c r="N76" s="16" t="s">
        <v>60</v>
      </c>
      <c r="O76" s="19" t="s">
        <v>61</v>
      </c>
      <c r="P76" s="18">
        <v>271524</v>
      </c>
      <c r="Q76" s="18">
        <v>7386967</v>
      </c>
      <c r="R76" s="18">
        <v>271515</v>
      </c>
      <c r="S76" s="18">
        <v>7387033</v>
      </c>
      <c r="T76" s="18" t="s">
        <v>62</v>
      </c>
      <c r="U76" s="18"/>
      <c r="V76" s="18"/>
      <c r="W76" s="40"/>
      <c r="X76" s="40"/>
      <c r="Y76" s="41"/>
      <c r="Z76" s="40" t="s">
        <v>255</v>
      </c>
      <c r="AA76" s="42" t="s">
        <v>255</v>
      </c>
      <c r="AB76" s="42" t="s">
        <v>58</v>
      </c>
      <c r="AC76" s="40" t="s">
        <v>252</v>
      </c>
      <c r="AD76" s="11"/>
      <c r="AE76" s="40"/>
      <c r="AF76" s="40"/>
      <c r="AG76" s="40" t="s">
        <v>60</v>
      </c>
      <c r="AH76" s="40" t="s">
        <v>58</v>
      </c>
      <c r="AI76" s="41" t="s">
        <v>67</v>
      </c>
      <c r="AJ76" s="41" t="s">
        <v>66</v>
      </c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0"/>
      <c r="BB76" s="29"/>
      <c r="BC76" s="30"/>
      <c r="BD76" s="31"/>
      <c r="BE76" s="31"/>
      <c r="BF76" s="31"/>
      <c r="BG76" s="31"/>
      <c r="BH76" s="32"/>
    </row>
    <row r="77" spans="1:60" ht="72">
      <c r="A77" s="75">
        <v>76</v>
      </c>
      <c r="B77" s="43"/>
      <c r="C77" s="18"/>
      <c r="D77" s="18"/>
      <c r="E77" s="18">
        <v>11</v>
      </c>
      <c r="F77" s="18" t="s">
        <v>55</v>
      </c>
      <c r="G77" s="18" t="s">
        <v>106</v>
      </c>
      <c r="H77" s="18" t="s">
        <v>329</v>
      </c>
      <c r="I77" s="39" t="s">
        <v>330</v>
      </c>
      <c r="J77" s="18" t="s">
        <v>58</v>
      </c>
      <c r="K77" s="18" t="s">
        <v>59</v>
      </c>
      <c r="L77" s="66">
        <v>46050</v>
      </c>
      <c r="M77" s="16" t="s">
        <v>60</v>
      </c>
      <c r="N77" s="16" t="s">
        <v>60</v>
      </c>
      <c r="O77" s="19" t="s">
        <v>61</v>
      </c>
      <c r="P77" s="18">
        <v>271524</v>
      </c>
      <c r="Q77" s="18">
        <v>7387052</v>
      </c>
      <c r="R77" s="18">
        <v>271603</v>
      </c>
      <c r="S77" s="18">
        <v>7387060</v>
      </c>
      <c r="T77" s="18" t="s">
        <v>62</v>
      </c>
      <c r="U77" s="18"/>
      <c r="V77" s="18"/>
      <c r="W77" s="40"/>
      <c r="X77" s="40"/>
      <c r="Y77" s="41"/>
      <c r="Z77" s="40" t="s">
        <v>91</v>
      </c>
      <c r="AA77" s="42" t="s">
        <v>331</v>
      </c>
      <c r="AB77" s="42" t="s">
        <v>332</v>
      </c>
      <c r="AC77" s="40" t="s">
        <v>252</v>
      </c>
      <c r="AD77" s="11"/>
      <c r="AE77" s="40"/>
      <c r="AF77" s="40"/>
      <c r="AG77" s="40" t="s">
        <v>60</v>
      </c>
      <c r="AH77" s="40" t="s">
        <v>58</v>
      </c>
      <c r="AI77" s="41" t="s">
        <v>67</v>
      </c>
      <c r="AJ77" s="41" t="s">
        <v>66</v>
      </c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0"/>
      <c r="BB77" s="29"/>
      <c r="BC77" s="30"/>
      <c r="BD77" s="31"/>
      <c r="BE77" s="31"/>
      <c r="BF77" s="31"/>
      <c r="BG77" s="31"/>
      <c r="BH77" s="32"/>
    </row>
    <row r="78" spans="1:60" ht="43.15">
      <c r="A78" s="75">
        <v>77</v>
      </c>
      <c r="B78" s="43"/>
      <c r="C78" s="18"/>
      <c r="D78" s="18"/>
      <c r="E78" s="18">
        <v>11</v>
      </c>
      <c r="F78" s="18" t="s">
        <v>55</v>
      </c>
      <c r="G78" s="18" t="s">
        <v>106</v>
      </c>
      <c r="H78" s="18" t="s">
        <v>333</v>
      </c>
      <c r="I78" s="39" t="s">
        <v>334</v>
      </c>
      <c r="J78" s="18" t="s">
        <v>58</v>
      </c>
      <c r="K78" s="18" t="s">
        <v>59</v>
      </c>
      <c r="L78" s="66">
        <v>46050</v>
      </c>
      <c r="M78" s="16" t="s">
        <v>60</v>
      </c>
      <c r="N78" s="16" t="s">
        <v>60</v>
      </c>
      <c r="O78" s="19" t="s">
        <v>61</v>
      </c>
      <c r="P78" s="18">
        <v>271608</v>
      </c>
      <c r="Q78" s="78">
        <v>7387063</v>
      </c>
      <c r="R78" s="78">
        <v>271679</v>
      </c>
      <c r="S78" s="18">
        <v>7387099</v>
      </c>
      <c r="T78" s="18" t="s">
        <v>62</v>
      </c>
      <c r="U78" s="18"/>
      <c r="V78" s="18"/>
      <c r="W78" s="40"/>
      <c r="X78" s="40"/>
      <c r="Y78" s="41"/>
      <c r="Z78" s="40" t="s">
        <v>91</v>
      </c>
      <c r="AA78" s="42" t="s">
        <v>335</v>
      </c>
      <c r="AB78" s="42" t="s">
        <v>336</v>
      </c>
      <c r="AC78" s="40" t="s">
        <v>252</v>
      </c>
      <c r="AD78" s="11"/>
      <c r="AE78" s="40"/>
      <c r="AF78" s="40"/>
      <c r="AG78" s="40" t="s">
        <v>60</v>
      </c>
      <c r="AH78" s="40" t="s">
        <v>58</v>
      </c>
      <c r="AI78" s="41" t="s">
        <v>67</v>
      </c>
      <c r="AJ78" s="41" t="s">
        <v>66</v>
      </c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0"/>
      <c r="BB78" s="29"/>
      <c r="BC78" s="30"/>
      <c r="BD78" s="31"/>
      <c r="BE78" s="31"/>
      <c r="BF78" s="31"/>
      <c r="BG78" s="31"/>
      <c r="BH78" s="32"/>
    </row>
    <row r="79" spans="1:60">
      <c r="A79" s="75">
        <v>78</v>
      </c>
      <c r="B79" s="43"/>
      <c r="C79" s="18"/>
      <c r="D79" s="18"/>
      <c r="E79" s="18">
        <v>11</v>
      </c>
      <c r="F79" s="18" t="s">
        <v>55</v>
      </c>
      <c r="G79" s="18" t="s">
        <v>106</v>
      </c>
      <c r="H79" s="18" t="s">
        <v>337</v>
      </c>
      <c r="I79" s="39" t="s">
        <v>111</v>
      </c>
      <c r="J79" s="18" t="s">
        <v>58</v>
      </c>
      <c r="K79" s="18" t="s">
        <v>59</v>
      </c>
      <c r="L79" s="66">
        <v>46050</v>
      </c>
      <c r="M79" s="16" t="s">
        <v>60</v>
      </c>
      <c r="N79" s="16" t="s">
        <v>60</v>
      </c>
      <c r="O79" s="19" t="s">
        <v>61</v>
      </c>
      <c r="P79" s="18">
        <v>271683</v>
      </c>
      <c r="Q79" s="18">
        <v>7387098</v>
      </c>
      <c r="R79" s="18">
        <v>271822</v>
      </c>
      <c r="S79" s="18">
        <v>7387269</v>
      </c>
      <c r="T79" s="18" t="s">
        <v>62</v>
      </c>
      <c r="U79" s="18"/>
      <c r="V79" s="18"/>
      <c r="W79" s="40"/>
      <c r="X79" s="40"/>
      <c r="Y79" s="41"/>
      <c r="Z79" s="40" t="s">
        <v>255</v>
      </c>
      <c r="AA79" s="42" t="s">
        <v>255</v>
      </c>
      <c r="AB79" s="42" t="s">
        <v>58</v>
      </c>
      <c r="AC79" s="40" t="s">
        <v>252</v>
      </c>
      <c r="AD79" s="11"/>
      <c r="AE79" s="40"/>
      <c r="AF79" s="40"/>
      <c r="AG79" s="40" t="s">
        <v>60</v>
      </c>
      <c r="AH79" s="40" t="s">
        <v>58</v>
      </c>
      <c r="AI79" s="41" t="s">
        <v>67</v>
      </c>
      <c r="AJ79" s="41" t="s">
        <v>66</v>
      </c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0"/>
      <c r="BB79" s="29"/>
      <c r="BC79" s="30"/>
      <c r="BD79" s="31"/>
      <c r="BE79" s="31"/>
      <c r="BF79" s="31"/>
      <c r="BG79" s="31"/>
      <c r="BH79" s="32"/>
    </row>
    <row r="80" spans="1:60">
      <c r="A80" s="75">
        <v>79</v>
      </c>
      <c r="B80" s="43"/>
      <c r="C80" s="18"/>
      <c r="D80" s="18"/>
      <c r="E80" s="18">
        <v>11</v>
      </c>
      <c r="F80" s="18" t="s">
        <v>55</v>
      </c>
      <c r="G80" s="18" t="s">
        <v>106</v>
      </c>
      <c r="H80" s="18" t="s">
        <v>338</v>
      </c>
      <c r="I80" s="39" t="s">
        <v>111</v>
      </c>
      <c r="J80" s="18" t="s">
        <v>58</v>
      </c>
      <c r="K80" s="18" t="s">
        <v>59</v>
      </c>
      <c r="L80" s="66">
        <v>46050</v>
      </c>
      <c r="M80" s="16" t="s">
        <v>60</v>
      </c>
      <c r="N80" s="16" t="s">
        <v>60</v>
      </c>
      <c r="O80" s="19" t="s">
        <v>61</v>
      </c>
      <c r="P80" s="18">
        <v>271802</v>
      </c>
      <c r="Q80" s="18">
        <v>7387273</v>
      </c>
      <c r="R80" s="18">
        <v>271811</v>
      </c>
      <c r="S80" s="18">
        <v>7387220</v>
      </c>
      <c r="T80" s="18" t="s">
        <v>62</v>
      </c>
      <c r="U80" s="18"/>
      <c r="V80" s="18"/>
      <c r="W80" s="40"/>
      <c r="X80" s="40"/>
      <c r="Y80" s="41"/>
      <c r="Z80" s="40" t="s">
        <v>71</v>
      </c>
      <c r="AA80" s="42" t="s">
        <v>63</v>
      </c>
      <c r="AB80" s="42" t="s">
        <v>339</v>
      </c>
      <c r="AC80" s="40" t="s">
        <v>252</v>
      </c>
      <c r="AD80" s="11"/>
      <c r="AE80" s="40"/>
      <c r="AF80" s="40"/>
      <c r="AG80" s="40" t="s">
        <v>60</v>
      </c>
      <c r="AH80" s="40" t="s">
        <v>58</v>
      </c>
      <c r="AI80" s="41" t="s">
        <v>67</v>
      </c>
      <c r="AJ80" s="41" t="s">
        <v>66</v>
      </c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0"/>
      <c r="BB80" s="29"/>
      <c r="BC80" s="30"/>
      <c r="BD80" s="31"/>
      <c r="BE80" s="31"/>
      <c r="BF80" s="31"/>
      <c r="BG80" s="31"/>
      <c r="BH80" s="32"/>
    </row>
    <row r="81" spans="1:56" ht="28.9">
      <c r="A81" s="75">
        <v>80</v>
      </c>
      <c r="B81" s="43"/>
      <c r="C81" s="18"/>
      <c r="D81" s="18"/>
      <c r="E81" s="18">
        <v>11</v>
      </c>
      <c r="F81" s="18" t="s">
        <v>55</v>
      </c>
      <c r="G81" s="18" t="s">
        <v>106</v>
      </c>
      <c r="H81" s="18" t="s">
        <v>340</v>
      </c>
      <c r="I81" s="39" t="s">
        <v>341</v>
      </c>
      <c r="J81" s="18" t="s">
        <v>58</v>
      </c>
      <c r="K81" s="18" t="s">
        <v>59</v>
      </c>
      <c r="L81" s="66">
        <v>46050</v>
      </c>
      <c r="M81" s="16" t="s">
        <v>60</v>
      </c>
      <c r="N81" s="16" t="s">
        <v>60</v>
      </c>
      <c r="O81" s="19" t="s">
        <v>61</v>
      </c>
      <c r="P81" s="18">
        <v>271804</v>
      </c>
      <c r="Q81" s="18">
        <v>7387227</v>
      </c>
      <c r="R81" s="18">
        <v>271818</v>
      </c>
      <c r="S81" s="18">
        <v>7387209</v>
      </c>
      <c r="T81" s="18" t="s">
        <v>62</v>
      </c>
      <c r="U81" s="18"/>
      <c r="V81" s="18"/>
      <c r="W81" s="40"/>
      <c r="X81" s="40"/>
      <c r="Y81" s="41"/>
      <c r="Z81" s="40" t="s">
        <v>71</v>
      </c>
      <c r="AA81" s="42" t="s">
        <v>342</v>
      </c>
      <c r="AB81" s="42" t="s">
        <v>343</v>
      </c>
      <c r="AC81" s="40" t="s">
        <v>252</v>
      </c>
      <c r="AD81" s="11"/>
      <c r="AE81" s="40"/>
      <c r="AF81" s="40"/>
      <c r="AG81" s="40" t="s">
        <v>60</v>
      </c>
      <c r="AH81" s="40" t="s">
        <v>58</v>
      </c>
      <c r="AI81" s="41" t="s">
        <v>67</v>
      </c>
      <c r="AJ81" s="41" t="s">
        <v>66</v>
      </c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0"/>
      <c r="BB81" s="33"/>
      <c r="BC81" s="33"/>
      <c r="BD81" s="33"/>
    </row>
    <row r="82" spans="1:56" ht="28.9">
      <c r="A82" s="75">
        <v>81</v>
      </c>
      <c r="B82" s="43"/>
      <c r="C82" s="18"/>
      <c r="D82" s="18"/>
      <c r="E82" s="18">
        <v>11</v>
      </c>
      <c r="F82" s="18" t="s">
        <v>55</v>
      </c>
      <c r="G82" s="18" t="s">
        <v>106</v>
      </c>
      <c r="H82" s="18" t="s">
        <v>344</v>
      </c>
      <c r="I82" s="39" t="s">
        <v>345</v>
      </c>
      <c r="J82" s="18" t="s">
        <v>58</v>
      </c>
      <c r="K82" s="18" t="s">
        <v>59</v>
      </c>
      <c r="L82" s="66">
        <v>46050</v>
      </c>
      <c r="M82" s="16" t="s">
        <v>60</v>
      </c>
      <c r="N82" s="16" t="s">
        <v>60</v>
      </c>
      <c r="O82" s="19" t="s">
        <v>61</v>
      </c>
      <c r="P82" s="18">
        <v>271551</v>
      </c>
      <c r="Q82" s="18">
        <v>7386833</v>
      </c>
      <c r="R82" s="18">
        <v>271820</v>
      </c>
      <c r="S82" s="18">
        <v>7387174</v>
      </c>
      <c r="T82" s="18" t="s">
        <v>62</v>
      </c>
      <c r="U82" s="18"/>
      <c r="V82" s="18"/>
      <c r="W82" s="40"/>
      <c r="X82" s="40"/>
      <c r="Y82" s="41"/>
      <c r="Z82" s="40" t="s">
        <v>91</v>
      </c>
      <c r="AA82" s="42" t="s">
        <v>72</v>
      </c>
      <c r="AB82" s="42" t="s">
        <v>346</v>
      </c>
      <c r="AC82" s="40" t="s">
        <v>252</v>
      </c>
      <c r="AD82" s="11"/>
      <c r="AE82" s="40"/>
      <c r="AF82" s="40"/>
      <c r="AG82" s="40" t="s">
        <v>60</v>
      </c>
      <c r="AH82" s="40" t="s">
        <v>58</v>
      </c>
      <c r="AI82" s="41" t="s">
        <v>67</v>
      </c>
      <c r="AJ82" s="41" t="s">
        <v>66</v>
      </c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0"/>
      <c r="BB82" s="33"/>
      <c r="BC82" s="33"/>
      <c r="BD82" s="33"/>
    </row>
    <row r="83" spans="1:56" ht="28.9">
      <c r="A83" s="75">
        <v>82</v>
      </c>
      <c r="B83" s="43"/>
      <c r="C83" s="18"/>
      <c r="D83" s="18"/>
      <c r="E83" s="18">
        <v>11</v>
      </c>
      <c r="F83" s="18" t="s">
        <v>55</v>
      </c>
      <c r="G83" s="18" t="s">
        <v>106</v>
      </c>
      <c r="H83" s="18" t="s">
        <v>347</v>
      </c>
      <c r="I83" s="39" t="s">
        <v>348</v>
      </c>
      <c r="J83" s="18" t="s">
        <v>58</v>
      </c>
      <c r="K83" s="18" t="s">
        <v>59</v>
      </c>
      <c r="L83" s="66">
        <v>46050</v>
      </c>
      <c r="M83" s="16" t="s">
        <v>60</v>
      </c>
      <c r="N83" s="16" t="s">
        <v>60</v>
      </c>
      <c r="O83" s="19" t="s">
        <v>61</v>
      </c>
      <c r="P83" s="18">
        <v>271834</v>
      </c>
      <c r="Q83" s="18">
        <v>7387177</v>
      </c>
      <c r="R83" s="18">
        <v>271809</v>
      </c>
      <c r="S83" s="18">
        <v>7387116</v>
      </c>
      <c r="T83" s="18" t="s">
        <v>62</v>
      </c>
      <c r="U83" s="18"/>
      <c r="V83" s="18"/>
      <c r="W83" s="40"/>
      <c r="X83" s="40"/>
      <c r="Y83" s="41"/>
      <c r="Z83" s="40" t="s">
        <v>91</v>
      </c>
      <c r="AA83" s="42" t="s">
        <v>349</v>
      </c>
      <c r="AB83" s="42" t="s">
        <v>350</v>
      </c>
      <c r="AC83" s="40" t="s">
        <v>252</v>
      </c>
      <c r="AD83" s="11"/>
      <c r="AE83" s="40"/>
      <c r="AF83" s="40"/>
      <c r="AG83" s="40" t="s">
        <v>60</v>
      </c>
      <c r="AH83" s="40" t="s">
        <v>58</v>
      </c>
      <c r="AI83" s="41" t="s">
        <v>67</v>
      </c>
      <c r="AJ83" s="41" t="s">
        <v>66</v>
      </c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0"/>
      <c r="BB83" s="33"/>
      <c r="BC83" s="33"/>
      <c r="BD83" s="33"/>
    </row>
    <row r="84" spans="1:56" ht="28.9">
      <c r="A84" s="75">
        <v>83</v>
      </c>
      <c r="B84" s="43"/>
      <c r="C84" s="18"/>
      <c r="D84" s="18"/>
      <c r="E84" s="18">
        <v>11</v>
      </c>
      <c r="F84" s="18" t="s">
        <v>55</v>
      </c>
      <c r="G84" s="18" t="s">
        <v>106</v>
      </c>
      <c r="H84" s="18" t="s">
        <v>351</v>
      </c>
      <c r="I84" s="39" t="s">
        <v>352</v>
      </c>
      <c r="J84" s="18" t="s">
        <v>58</v>
      </c>
      <c r="K84" s="18" t="s">
        <v>59</v>
      </c>
      <c r="L84" s="66">
        <v>46050</v>
      </c>
      <c r="M84" s="16" t="s">
        <v>60</v>
      </c>
      <c r="N84" s="16" t="s">
        <v>60</v>
      </c>
      <c r="O84" s="19" t="s">
        <v>61</v>
      </c>
      <c r="P84" s="18">
        <v>271795</v>
      </c>
      <c r="Q84" s="18">
        <v>7387114</v>
      </c>
      <c r="R84" s="18">
        <v>271798</v>
      </c>
      <c r="S84" s="18">
        <v>7387087</v>
      </c>
      <c r="T84" s="18" t="s">
        <v>62</v>
      </c>
      <c r="U84" s="18"/>
      <c r="V84" s="18"/>
      <c r="W84" s="40"/>
      <c r="X84" s="40"/>
      <c r="Y84" s="41"/>
      <c r="Z84" s="40" t="s">
        <v>91</v>
      </c>
      <c r="AA84" s="42" t="s">
        <v>353</v>
      </c>
      <c r="AB84" s="42" t="s">
        <v>200</v>
      </c>
      <c r="AC84" s="40" t="s">
        <v>252</v>
      </c>
      <c r="AD84" s="11"/>
      <c r="AE84" s="40"/>
      <c r="AF84" s="40"/>
      <c r="AG84" s="40" t="s">
        <v>60</v>
      </c>
      <c r="AH84" s="40" t="s">
        <v>58</v>
      </c>
      <c r="AI84" s="41" t="s">
        <v>67</v>
      </c>
      <c r="AJ84" s="41" t="s">
        <v>66</v>
      </c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0"/>
      <c r="BB84" s="33"/>
      <c r="BC84" s="33"/>
      <c r="BD84" s="33"/>
    </row>
    <row r="85" spans="1:56">
      <c r="A85" s="75"/>
      <c r="B85" s="43"/>
      <c r="C85" s="18"/>
      <c r="D85" s="18"/>
      <c r="E85" s="18"/>
      <c r="F85" s="18"/>
      <c r="G85" s="18"/>
      <c r="H85" s="18"/>
      <c r="I85" s="39"/>
      <c r="J85" s="18"/>
      <c r="K85" s="18" t="s">
        <v>59</v>
      </c>
      <c r="L85" s="66"/>
      <c r="M85" s="16"/>
      <c r="N85" s="16"/>
      <c r="O85" s="19"/>
      <c r="P85" s="18"/>
      <c r="Q85" s="18"/>
      <c r="R85" s="18"/>
      <c r="S85" s="18"/>
      <c r="T85" s="18" t="s">
        <v>62</v>
      </c>
      <c r="U85" s="18"/>
      <c r="V85" s="18"/>
      <c r="W85" s="40"/>
      <c r="X85" s="40"/>
      <c r="Y85" s="41"/>
      <c r="Z85" s="40"/>
      <c r="AA85" s="42"/>
      <c r="AB85" s="42"/>
      <c r="AC85" s="40"/>
      <c r="AD85" s="11"/>
      <c r="AE85" s="40"/>
      <c r="AF85" s="40"/>
      <c r="AG85" s="40"/>
      <c r="AH85" s="40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0"/>
      <c r="BB85" s="33"/>
      <c r="BC85" s="33"/>
      <c r="BD85" s="33"/>
    </row>
    <row r="86" spans="1:56">
      <c r="A86" s="75"/>
      <c r="B86" s="43"/>
      <c r="C86" s="18"/>
      <c r="D86" s="18"/>
      <c r="E86" s="18"/>
      <c r="F86" s="18"/>
      <c r="G86" s="18"/>
      <c r="H86" s="18"/>
      <c r="I86" s="39"/>
      <c r="J86" s="18"/>
      <c r="K86" s="18" t="s">
        <v>59</v>
      </c>
      <c r="L86" s="18"/>
      <c r="M86" s="18"/>
      <c r="N86" s="18"/>
      <c r="O86" s="18"/>
      <c r="P86" s="18"/>
      <c r="Q86" s="18"/>
      <c r="R86" s="18"/>
      <c r="S86" s="18"/>
      <c r="T86" s="18" t="s">
        <v>62</v>
      </c>
      <c r="U86" s="18"/>
      <c r="V86" s="18"/>
      <c r="W86" s="40"/>
      <c r="X86" s="40"/>
      <c r="Y86" s="41"/>
      <c r="Z86" s="40"/>
      <c r="AA86" s="42"/>
      <c r="AB86" s="42"/>
      <c r="AC86" s="40"/>
      <c r="AD86" s="11"/>
      <c r="AE86" s="40"/>
      <c r="AF86" s="40"/>
      <c r="AG86" s="40"/>
      <c r="AH86" s="40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0"/>
      <c r="BB86" s="33"/>
      <c r="BC86" s="33"/>
      <c r="BD86" s="33"/>
    </row>
    <row r="87" spans="1:56">
      <c r="A87" s="75"/>
      <c r="B87" s="43"/>
      <c r="C87" s="18"/>
      <c r="D87" s="18"/>
      <c r="E87" s="18"/>
      <c r="F87" s="18"/>
      <c r="G87" s="18"/>
      <c r="H87" s="18"/>
      <c r="I87" s="39"/>
      <c r="J87" s="18"/>
      <c r="K87" s="18" t="s">
        <v>59</v>
      </c>
      <c r="L87" s="18"/>
      <c r="M87" s="18"/>
      <c r="N87" s="18"/>
      <c r="O87" s="18"/>
      <c r="P87" s="18"/>
      <c r="Q87" s="18"/>
      <c r="R87" s="18"/>
      <c r="S87" s="18"/>
      <c r="T87" s="18" t="s">
        <v>62</v>
      </c>
      <c r="U87" s="18"/>
      <c r="V87" s="18"/>
      <c r="W87" s="40"/>
      <c r="X87" s="40"/>
      <c r="Y87" s="41"/>
      <c r="Z87" s="40"/>
      <c r="AA87" s="42"/>
      <c r="AB87" s="42"/>
      <c r="AC87" s="40"/>
      <c r="AD87" s="11"/>
      <c r="AE87" s="40"/>
      <c r="AF87" s="40"/>
      <c r="AG87" s="40"/>
      <c r="AH87" s="40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0"/>
      <c r="BB87" s="33"/>
      <c r="BC87" s="33"/>
      <c r="BD87" s="33"/>
    </row>
    <row r="88" spans="1:56">
      <c r="A88" s="75"/>
      <c r="B88" s="43"/>
      <c r="C88" s="18"/>
      <c r="D88" s="18"/>
      <c r="E88" s="18"/>
      <c r="F88" s="18"/>
      <c r="G88" s="18"/>
      <c r="H88" s="18"/>
      <c r="I88" s="39"/>
      <c r="J88" s="18"/>
      <c r="K88" s="18" t="s">
        <v>59</v>
      </c>
      <c r="L88" s="18"/>
      <c r="M88" s="18"/>
      <c r="N88" s="18"/>
      <c r="O88" s="18"/>
      <c r="P88" s="18"/>
      <c r="Q88" s="18"/>
      <c r="R88" s="18"/>
      <c r="S88" s="18"/>
      <c r="T88" s="18" t="s">
        <v>62</v>
      </c>
      <c r="U88" s="18"/>
      <c r="V88" s="18"/>
      <c r="W88" s="40"/>
      <c r="X88" s="40"/>
      <c r="Y88" s="41"/>
      <c r="Z88" s="40"/>
      <c r="AA88" s="42"/>
      <c r="AB88" s="42"/>
      <c r="AC88" s="40"/>
      <c r="AD88" s="11"/>
      <c r="AE88" s="40"/>
      <c r="AF88" s="40"/>
      <c r="AG88" s="40"/>
      <c r="AH88" s="40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0"/>
      <c r="BB88" s="33"/>
      <c r="BC88" s="33"/>
      <c r="BD88" s="33"/>
    </row>
    <row r="89" spans="1:56">
      <c r="A89" s="75"/>
      <c r="B89" s="43"/>
      <c r="C89" s="18"/>
      <c r="D89" s="18"/>
      <c r="E89" s="18"/>
      <c r="F89" s="18"/>
      <c r="G89" s="18"/>
      <c r="H89" s="18"/>
      <c r="I89" s="39"/>
      <c r="J89" s="18"/>
      <c r="K89" s="18" t="s">
        <v>59</v>
      </c>
      <c r="L89" s="18"/>
      <c r="M89" s="18"/>
      <c r="N89" s="18"/>
      <c r="O89" s="18"/>
      <c r="P89" s="18"/>
      <c r="Q89" s="18"/>
      <c r="R89" s="18"/>
      <c r="S89" s="18"/>
      <c r="T89" s="18" t="s">
        <v>62</v>
      </c>
      <c r="U89" s="18"/>
      <c r="V89" s="18"/>
      <c r="W89" s="40"/>
      <c r="X89" s="40"/>
      <c r="Y89" s="41"/>
      <c r="Z89" s="40"/>
      <c r="AA89" s="42"/>
      <c r="AB89" s="42"/>
      <c r="AC89" s="40"/>
      <c r="AD89" s="11"/>
      <c r="AE89" s="40"/>
      <c r="AF89" s="40"/>
      <c r="AG89" s="40"/>
      <c r="AH89" s="40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0"/>
      <c r="BB89" s="33"/>
      <c r="BC89" s="33"/>
      <c r="BD89" s="33"/>
    </row>
    <row r="90" spans="1:56">
      <c r="A90" s="75"/>
      <c r="B90" s="43"/>
      <c r="C90" s="18"/>
      <c r="D90" s="18"/>
      <c r="E90" s="18"/>
      <c r="F90" s="18"/>
      <c r="G90" s="18"/>
      <c r="H90" s="18"/>
      <c r="I90" s="39"/>
      <c r="J90" s="18"/>
      <c r="K90" s="18" t="s">
        <v>59</v>
      </c>
      <c r="L90" s="18"/>
      <c r="M90" s="18"/>
      <c r="N90" s="18"/>
      <c r="O90" s="18"/>
      <c r="P90" s="18"/>
      <c r="Q90" s="18"/>
      <c r="R90" s="18"/>
      <c r="S90" s="18"/>
      <c r="T90" s="18" t="s">
        <v>62</v>
      </c>
      <c r="U90" s="18"/>
      <c r="V90" s="18"/>
      <c r="W90" s="40"/>
      <c r="X90" s="40"/>
      <c r="Y90" s="41"/>
      <c r="Z90" s="40"/>
      <c r="AA90" s="42"/>
      <c r="AB90" s="42"/>
      <c r="AC90" s="40"/>
      <c r="AD90" s="11"/>
      <c r="AE90" s="40"/>
      <c r="AF90" s="40"/>
      <c r="AG90" s="40"/>
      <c r="AH90" s="40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0"/>
      <c r="BB90" s="33"/>
      <c r="BC90" s="33"/>
      <c r="BD90" s="33"/>
    </row>
    <row r="91" spans="1:56">
      <c r="A91" s="75"/>
      <c r="B91" s="43"/>
      <c r="C91" s="18"/>
      <c r="D91" s="18"/>
      <c r="E91" s="18"/>
      <c r="F91" s="18"/>
      <c r="G91" s="18"/>
      <c r="H91" s="18"/>
      <c r="I91" s="39"/>
      <c r="J91" s="18"/>
      <c r="K91" s="18" t="s">
        <v>59</v>
      </c>
      <c r="L91" s="18"/>
      <c r="M91" s="18"/>
      <c r="N91" s="18"/>
      <c r="O91" s="18"/>
      <c r="P91" s="18"/>
      <c r="Q91" s="18"/>
      <c r="R91" s="18"/>
      <c r="S91" s="18"/>
      <c r="T91" s="18" t="s">
        <v>62</v>
      </c>
      <c r="U91" s="18"/>
      <c r="V91" s="18"/>
      <c r="W91" s="40"/>
      <c r="X91" s="40"/>
      <c r="Y91" s="41"/>
      <c r="Z91" s="40"/>
      <c r="AA91" s="42"/>
      <c r="AB91" s="42"/>
      <c r="AC91" s="40"/>
      <c r="AD91" s="11"/>
      <c r="AE91" s="40"/>
      <c r="AF91" s="40"/>
      <c r="AG91" s="40"/>
      <c r="AH91" s="40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0"/>
      <c r="BB91" s="33"/>
      <c r="BC91" s="33"/>
      <c r="BD91" s="33"/>
    </row>
    <row r="92" spans="1:56">
      <c r="A92" s="75"/>
      <c r="B92" s="43"/>
      <c r="C92" s="18"/>
      <c r="D92" s="18"/>
      <c r="E92" s="18"/>
      <c r="F92" s="18"/>
      <c r="G92" s="18"/>
      <c r="H92" s="18"/>
      <c r="I92" s="39"/>
      <c r="J92" s="18"/>
      <c r="K92" s="18" t="s">
        <v>59</v>
      </c>
      <c r="L92" s="18"/>
      <c r="M92" s="18"/>
      <c r="N92" s="18"/>
      <c r="O92" s="18"/>
      <c r="P92" s="18"/>
      <c r="Q92" s="18"/>
      <c r="R92" s="18"/>
      <c r="S92" s="18"/>
      <c r="T92" s="18" t="s">
        <v>62</v>
      </c>
      <c r="U92" s="18"/>
      <c r="V92" s="18"/>
      <c r="W92" s="40"/>
      <c r="X92" s="40"/>
      <c r="Y92" s="41"/>
      <c r="Z92" s="40"/>
      <c r="AA92" s="42"/>
      <c r="AB92" s="42"/>
      <c r="AC92" s="40"/>
      <c r="AD92" s="11"/>
      <c r="AE92" s="40"/>
      <c r="AF92" s="40"/>
      <c r="AG92" s="40"/>
      <c r="AH92" s="40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0"/>
      <c r="BB92" s="33"/>
      <c r="BC92" s="33"/>
      <c r="BD92" s="33"/>
    </row>
    <row r="93" spans="1:56">
      <c r="A93" s="75"/>
      <c r="B93" s="43"/>
      <c r="C93" s="18"/>
      <c r="D93" s="18"/>
      <c r="E93" s="18"/>
      <c r="F93" s="18"/>
      <c r="G93" s="18"/>
      <c r="H93" s="18"/>
      <c r="I93" s="39"/>
      <c r="J93" s="18"/>
      <c r="K93" s="18" t="s">
        <v>59</v>
      </c>
      <c r="L93" s="18"/>
      <c r="M93" s="18"/>
      <c r="N93" s="18"/>
      <c r="O93" s="18"/>
      <c r="P93" s="18"/>
      <c r="Q93" s="18"/>
      <c r="R93" s="18"/>
      <c r="S93" s="18"/>
      <c r="T93" s="18" t="s">
        <v>62</v>
      </c>
      <c r="U93" s="18"/>
      <c r="V93" s="18"/>
      <c r="W93" s="40"/>
      <c r="X93" s="40"/>
      <c r="Y93" s="41"/>
      <c r="Z93" s="40"/>
      <c r="AA93" s="42"/>
      <c r="AB93" s="42"/>
      <c r="AC93" s="40"/>
      <c r="AD93" s="11"/>
      <c r="AE93" s="40"/>
      <c r="AF93" s="40"/>
      <c r="AG93" s="40"/>
      <c r="AH93" s="40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0"/>
      <c r="BB93" s="33"/>
      <c r="BC93" s="33"/>
      <c r="BD93" s="33"/>
    </row>
    <row r="94" spans="1:56">
      <c r="A94" s="75"/>
      <c r="B94" s="43"/>
      <c r="C94" s="18"/>
      <c r="D94" s="18"/>
      <c r="E94" s="18"/>
      <c r="F94" s="18"/>
      <c r="G94" s="18"/>
      <c r="H94" s="18"/>
      <c r="I94" s="39"/>
      <c r="J94" s="18"/>
      <c r="K94" s="18" t="s">
        <v>59</v>
      </c>
      <c r="L94" s="18"/>
      <c r="M94" s="18"/>
      <c r="N94" s="18"/>
      <c r="O94" s="18"/>
      <c r="P94" s="18"/>
      <c r="Q94" s="18"/>
      <c r="R94" s="18"/>
      <c r="S94" s="18"/>
      <c r="T94" s="18" t="s">
        <v>62</v>
      </c>
      <c r="U94" s="18"/>
      <c r="V94" s="18"/>
      <c r="W94" s="40"/>
      <c r="X94" s="40"/>
      <c r="Y94" s="41"/>
      <c r="Z94" s="40"/>
      <c r="AA94" s="42"/>
      <c r="AB94" s="42"/>
      <c r="AC94" s="40"/>
      <c r="AD94" s="11"/>
      <c r="AE94" s="40"/>
      <c r="AF94" s="40"/>
      <c r="AG94" s="40"/>
      <c r="AH94" s="40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0"/>
      <c r="BB94" s="33"/>
      <c r="BC94" s="33"/>
      <c r="BD94" s="33"/>
    </row>
    <row r="95" spans="1:56">
      <c r="A95" s="75"/>
      <c r="B95" s="43"/>
      <c r="C95" s="18"/>
      <c r="D95" s="18"/>
      <c r="E95" s="18"/>
      <c r="F95" s="18"/>
      <c r="G95" s="18"/>
      <c r="H95" s="18"/>
      <c r="I95" s="39"/>
      <c r="J95" s="18"/>
      <c r="K95" s="18" t="s">
        <v>59</v>
      </c>
      <c r="L95" s="18"/>
      <c r="M95" s="18"/>
      <c r="N95" s="18"/>
      <c r="O95" s="18"/>
      <c r="P95" s="18"/>
      <c r="Q95" s="18"/>
      <c r="R95" s="18"/>
      <c r="S95" s="18"/>
      <c r="T95" s="18" t="s">
        <v>62</v>
      </c>
      <c r="U95" s="18"/>
      <c r="V95" s="18"/>
      <c r="W95" s="40"/>
      <c r="X95" s="40"/>
      <c r="Y95" s="41"/>
      <c r="Z95" s="40"/>
      <c r="AA95" s="42"/>
      <c r="AB95" s="42"/>
      <c r="AC95" s="40"/>
      <c r="AD95" s="11"/>
      <c r="AE95" s="40"/>
      <c r="AF95" s="40"/>
      <c r="AG95" s="40"/>
      <c r="AH95" s="40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0"/>
      <c r="BB95" s="33"/>
      <c r="BC95" s="33"/>
      <c r="BD95" s="33"/>
    </row>
    <row r="96" spans="1:56">
      <c r="A96" s="75"/>
      <c r="B96" s="43"/>
      <c r="C96" s="18"/>
      <c r="D96" s="18"/>
      <c r="E96" s="18"/>
      <c r="F96" s="18"/>
      <c r="G96" s="18"/>
      <c r="H96" s="18"/>
      <c r="I96" s="39"/>
      <c r="J96" s="18"/>
      <c r="K96" s="18" t="s">
        <v>59</v>
      </c>
      <c r="L96" s="18"/>
      <c r="M96" s="18"/>
      <c r="N96" s="18"/>
      <c r="O96" s="18"/>
      <c r="P96" s="18"/>
      <c r="Q96" s="18"/>
      <c r="R96" s="18"/>
      <c r="S96" s="18"/>
      <c r="T96" s="18" t="s">
        <v>62</v>
      </c>
      <c r="U96" s="18"/>
      <c r="V96" s="18"/>
      <c r="W96" s="40"/>
      <c r="X96" s="40"/>
      <c r="Y96" s="41"/>
      <c r="Z96" s="40"/>
      <c r="AA96" s="42"/>
      <c r="AB96" s="42"/>
      <c r="AC96" s="40"/>
      <c r="AD96" s="11"/>
      <c r="AE96" s="40"/>
      <c r="AF96" s="40"/>
      <c r="AG96" s="40"/>
      <c r="AH96" s="40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0"/>
      <c r="BB96" s="33"/>
      <c r="BC96" s="33"/>
      <c r="BD96" s="33"/>
    </row>
    <row r="97" spans="1:56">
      <c r="A97" s="75"/>
      <c r="B97" s="43"/>
      <c r="C97" s="18"/>
      <c r="D97" s="18"/>
      <c r="E97" s="18"/>
      <c r="F97" s="18"/>
      <c r="G97" s="18"/>
      <c r="H97" s="18"/>
      <c r="I97" s="39"/>
      <c r="J97" s="18"/>
      <c r="K97" s="18" t="s">
        <v>59</v>
      </c>
      <c r="L97" s="18"/>
      <c r="M97" s="18"/>
      <c r="N97" s="18"/>
      <c r="O97" s="18"/>
      <c r="P97" s="18"/>
      <c r="Q97" s="18"/>
      <c r="R97" s="18"/>
      <c r="S97" s="18"/>
      <c r="T97" s="18" t="s">
        <v>62</v>
      </c>
      <c r="U97" s="18"/>
      <c r="V97" s="18"/>
      <c r="W97" s="40"/>
      <c r="X97" s="40"/>
      <c r="Y97" s="41"/>
      <c r="Z97" s="40"/>
      <c r="AA97" s="42"/>
      <c r="AB97" s="42"/>
      <c r="AC97" s="40"/>
      <c r="AD97" s="11"/>
      <c r="AE97" s="40"/>
      <c r="AF97" s="40"/>
      <c r="AG97" s="40"/>
      <c r="AH97" s="40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0"/>
      <c r="BB97" s="33"/>
      <c r="BC97" s="33"/>
      <c r="BD97" s="33"/>
    </row>
    <row r="98" spans="1:56">
      <c r="A98" s="75"/>
      <c r="B98" s="43"/>
      <c r="C98" s="18"/>
      <c r="D98" s="18"/>
      <c r="E98" s="18"/>
      <c r="F98" s="18"/>
      <c r="G98" s="18"/>
      <c r="H98" s="18"/>
      <c r="I98" s="39"/>
      <c r="J98" s="18"/>
      <c r="K98" s="18" t="s">
        <v>59</v>
      </c>
      <c r="L98" s="18"/>
      <c r="M98" s="18"/>
      <c r="N98" s="18"/>
      <c r="O98" s="18"/>
      <c r="P98" s="18"/>
      <c r="Q98" s="18"/>
      <c r="R98" s="18"/>
      <c r="S98" s="18"/>
      <c r="T98" s="18" t="s">
        <v>62</v>
      </c>
      <c r="U98" s="18"/>
      <c r="V98" s="18"/>
      <c r="W98" s="40"/>
      <c r="X98" s="40"/>
      <c r="Y98" s="41"/>
      <c r="Z98" s="40"/>
      <c r="AA98" s="42"/>
      <c r="AB98" s="42"/>
      <c r="AC98" s="40"/>
      <c r="AD98" s="11"/>
      <c r="AE98" s="40"/>
      <c r="AF98" s="40"/>
      <c r="AG98" s="40"/>
      <c r="AH98" s="40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0"/>
      <c r="BB98" s="33"/>
      <c r="BC98" s="33"/>
      <c r="BD98" s="33"/>
    </row>
    <row r="99" spans="1:56">
      <c r="A99" s="75"/>
      <c r="B99" s="43"/>
      <c r="C99" s="18"/>
      <c r="D99" s="18"/>
      <c r="E99" s="18"/>
      <c r="F99" s="18"/>
      <c r="G99" s="18"/>
      <c r="H99" s="18"/>
      <c r="I99" s="39"/>
      <c r="J99" s="18"/>
      <c r="K99" s="18" t="s">
        <v>59</v>
      </c>
      <c r="L99" s="18"/>
      <c r="M99" s="18"/>
      <c r="N99" s="18"/>
      <c r="O99" s="18"/>
      <c r="P99" s="18"/>
      <c r="Q99" s="18"/>
      <c r="R99" s="18"/>
      <c r="S99" s="18"/>
      <c r="T99" s="18" t="s">
        <v>62</v>
      </c>
      <c r="U99" s="18"/>
      <c r="V99" s="18"/>
      <c r="W99" s="40"/>
      <c r="X99" s="40"/>
      <c r="Y99" s="41"/>
      <c r="Z99" s="40"/>
      <c r="AA99" s="42"/>
      <c r="AB99" s="42"/>
      <c r="AC99" s="40"/>
      <c r="AD99" s="11"/>
      <c r="AE99" s="40"/>
      <c r="AF99" s="40"/>
      <c r="AG99" s="40"/>
      <c r="AH99" s="40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0"/>
      <c r="BB99" s="33"/>
      <c r="BC99" s="33"/>
      <c r="BD99" s="33"/>
    </row>
    <row r="100" spans="1:56">
      <c r="A100" s="75"/>
      <c r="B100" s="43"/>
      <c r="C100" s="18"/>
      <c r="D100" s="18"/>
      <c r="E100" s="18"/>
      <c r="F100" s="18"/>
      <c r="G100" s="18"/>
      <c r="H100" s="18"/>
      <c r="I100" s="39"/>
      <c r="J100" s="18"/>
      <c r="K100" s="18" t="s">
        <v>59</v>
      </c>
      <c r="L100" s="18"/>
      <c r="M100" s="18"/>
      <c r="N100" s="18"/>
      <c r="O100" s="18"/>
      <c r="P100" s="18"/>
      <c r="Q100" s="18"/>
      <c r="R100" s="18"/>
      <c r="S100" s="18"/>
      <c r="T100" s="18" t="s">
        <v>62</v>
      </c>
      <c r="U100" s="18"/>
      <c r="V100" s="18"/>
      <c r="W100" s="40"/>
      <c r="X100" s="40"/>
      <c r="Y100" s="41"/>
      <c r="Z100" s="40"/>
      <c r="AA100" s="42"/>
      <c r="AB100" s="42"/>
      <c r="AC100" s="40"/>
      <c r="AD100" s="11"/>
      <c r="AE100" s="40"/>
      <c r="AF100" s="40"/>
      <c r="AG100" s="40"/>
      <c r="AH100" s="40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0"/>
      <c r="BB100" s="33"/>
      <c r="BC100" s="33"/>
      <c r="BD100" s="33"/>
    </row>
    <row r="101" spans="1:56">
      <c r="A101" s="75"/>
      <c r="B101" s="43"/>
      <c r="C101" s="18"/>
      <c r="D101" s="18"/>
      <c r="E101" s="18"/>
      <c r="F101" s="18"/>
      <c r="G101" s="18"/>
      <c r="H101" s="18"/>
      <c r="I101" s="39"/>
      <c r="J101" s="18"/>
      <c r="K101" s="18" t="s">
        <v>59</v>
      </c>
      <c r="L101" s="18"/>
      <c r="M101" s="18"/>
      <c r="N101" s="18"/>
      <c r="O101" s="18"/>
      <c r="P101" s="18"/>
      <c r="Q101" s="18"/>
      <c r="R101" s="18"/>
      <c r="S101" s="18"/>
      <c r="T101" s="18" t="s">
        <v>62</v>
      </c>
      <c r="U101" s="18"/>
      <c r="V101" s="18"/>
      <c r="W101" s="40"/>
      <c r="X101" s="40"/>
      <c r="Y101" s="41"/>
      <c r="Z101" s="40"/>
      <c r="AA101" s="42"/>
      <c r="AB101" s="42"/>
      <c r="AC101" s="40"/>
      <c r="AD101" s="11"/>
      <c r="AE101" s="40"/>
      <c r="AF101" s="40"/>
      <c r="AG101" s="40"/>
      <c r="AH101" s="40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0"/>
      <c r="BB101" s="33"/>
      <c r="BC101" s="33"/>
      <c r="BD101" s="33"/>
    </row>
    <row r="102" spans="1:56">
      <c r="A102" s="75"/>
      <c r="B102" s="43"/>
      <c r="C102" s="18"/>
      <c r="D102" s="18"/>
      <c r="E102" s="18"/>
      <c r="F102" s="18"/>
      <c r="G102" s="18"/>
      <c r="H102" s="18"/>
      <c r="I102" s="39"/>
      <c r="J102" s="18"/>
      <c r="K102" s="18" t="s">
        <v>59</v>
      </c>
      <c r="L102" s="18"/>
      <c r="M102" s="18"/>
      <c r="N102" s="18"/>
      <c r="O102" s="18"/>
      <c r="P102" s="18"/>
      <c r="Q102" s="18"/>
      <c r="R102" s="18"/>
      <c r="S102" s="18"/>
      <c r="T102" s="18" t="s">
        <v>62</v>
      </c>
      <c r="U102" s="18"/>
      <c r="V102" s="18"/>
      <c r="W102" s="40"/>
      <c r="X102" s="40"/>
      <c r="Y102" s="41"/>
      <c r="Z102" s="40"/>
      <c r="AA102" s="42"/>
      <c r="AB102" s="42"/>
      <c r="AC102" s="40"/>
      <c r="AD102" s="11"/>
      <c r="AE102" s="40"/>
      <c r="AF102" s="40"/>
      <c r="AG102" s="40"/>
      <c r="AH102" s="40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0"/>
      <c r="BB102" s="33"/>
      <c r="BC102" s="33"/>
      <c r="BD102" s="33"/>
    </row>
    <row r="103" spans="1:56">
      <c r="A103" s="75"/>
      <c r="B103" s="43"/>
      <c r="C103" s="18"/>
      <c r="D103" s="18"/>
      <c r="E103" s="18"/>
      <c r="F103" s="18"/>
      <c r="G103" s="18"/>
      <c r="H103" s="18"/>
      <c r="I103" s="39"/>
      <c r="J103" s="18"/>
      <c r="K103" s="18" t="s">
        <v>59</v>
      </c>
      <c r="L103" s="18"/>
      <c r="M103" s="18"/>
      <c r="N103" s="18"/>
      <c r="O103" s="18"/>
      <c r="P103" s="18"/>
      <c r="Q103" s="18"/>
      <c r="R103" s="18"/>
      <c r="S103" s="18"/>
      <c r="T103" s="18" t="s">
        <v>62</v>
      </c>
      <c r="U103" s="18"/>
      <c r="V103" s="18"/>
      <c r="W103" s="40"/>
      <c r="X103" s="40"/>
      <c r="Y103" s="41"/>
      <c r="Z103" s="40"/>
      <c r="AA103" s="42"/>
      <c r="AB103" s="42"/>
      <c r="AC103" s="40"/>
      <c r="AD103" s="11"/>
      <c r="AE103" s="40"/>
      <c r="AF103" s="40"/>
      <c r="AG103" s="40"/>
      <c r="AH103" s="40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0"/>
      <c r="BB103" s="33"/>
      <c r="BC103" s="33"/>
      <c r="BD103" s="33"/>
    </row>
    <row r="104" spans="1:56">
      <c r="A104" s="75"/>
      <c r="B104" s="43"/>
      <c r="C104" s="18"/>
      <c r="D104" s="18"/>
      <c r="E104" s="18"/>
      <c r="F104" s="18"/>
      <c r="G104" s="18"/>
      <c r="H104" s="18"/>
      <c r="I104" s="39"/>
      <c r="J104" s="18"/>
      <c r="K104" s="18" t="s">
        <v>59</v>
      </c>
      <c r="L104" s="18"/>
      <c r="M104" s="18"/>
      <c r="N104" s="18"/>
      <c r="O104" s="18"/>
      <c r="P104" s="18"/>
      <c r="Q104" s="18"/>
      <c r="R104" s="18"/>
      <c r="S104" s="18"/>
      <c r="T104" s="18" t="s">
        <v>62</v>
      </c>
      <c r="U104" s="18"/>
      <c r="V104" s="18"/>
      <c r="W104" s="40"/>
      <c r="X104" s="40"/>
      <c r="Y104" s="41"/>
      <c r="Z104" s="40"/>
      <c r="AA104" s="42"/>
      <c r="AB104" s="42"/>
      <c r="AC104" s="40"/>
      <c r="AD104" s="11"/>
      <c r="AE104" s="40"/>
      <c r="AF104" s="40"/>
      <c r="AG104" s="40"/>
      <c r="AH104" s="40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0"/>
      <c r="BB104" s="33"/>
      <c r="BC104" s="33"/>
      <c r="BD104" s="33"/>
    </row>
    <row r="105" spans="1:56">
      <c r="A105" s="75"/>
      <c r="B105" s="43"/>
      <c r="C105" s="18"/>
      <c r="D105" s="18"/>
      <c r="E105" s="18"/>
      <c r="F105" s="18"/>
      <c r="G105" s="18"/>
      <c r="H105" s="18"/>
      <c r="I105" s="39"/>
      <c r="J105" s="18"/>
      <c r="K105" s="18" t="s">
        <v>59</v>
      </c>
      <c r="L105" s="18"/>
      <c r="M105" s="18"/>
      <c r="N105" s="18"/>
      <c r="O105" s="18"/>
      <c r="P105" s="18"/>
      <c r="Q105" s="18"/>
      <c r="R105" s="18"/>
      <c r="S105" s="18"/>
      <c r="T105" s="18" t="s">
        <v>62</v>
      </c>
      <c r="U105" s="18"/>
      <c r="V105" s="18"/>
      <c r="W105" s="40"/>
      <c r="X105" s="40"/>
      <c r="Y105" s="41"/>
      <c r="Z105" s="40"/>
      <c r="AA105" s="42"/>
      <c r="AB105" s="42"/>
      <c r="AC105" s="40"/>
      <c r="AD105" s="11"/>
      <c r="AE105" s="40"/>
      <c r="AF105" s="40"/>
      <c r="AG105" s="40"/>
      <c r="AH105" s="40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0"/>
      <c r="BB105" s="33"/>
      <c r="BC105" s="33"/>
      <c r="BD105" s="33"/>
    </row>
    <row r="106" spans="1:56">
      <c r="A106" s="75"/>
      <c r="B106" s="43"/>
      <c r="C106" s="18"/>
      <c r="D106" s="18"/>
      <c r="E106" s="18"/>
      <c r="F106" s="18"/>
      <c r="G106" s="18"/>
      <c r="H106" s="18"/>
      <c r="I106" s="39"/>
      <c r="J106" s="18"/>
      <c r="K106" s="18" t="s">
        <v>59</v>
      </c>
      <c r="L106" s="18"/>
      <c r="M106" s="18"/>
      <c r="N106" s="18"/>
      <c r="O106" s="18"/>
      <c r="P106" s="18"/>
      <c r="Q106" s="18"/>
      <c r="R106" s="18"/>
      <c r="S106" s="18"/>
      <c r="T106" s="18" t="s">
        <v>62</v>
      </c>
      <c r="U106" s="18"/>
      <c r="V106" s="18"/>
      <c r="W106" s="40"/>
      <c r="X106" s="40"/>
      <c r="Y106" s="41"/>
      <c r="Z106" s="40"/>
      <c r="AA106" s="42"/>
      <c r="AB106" s="42"/>
      <c r="AC106" s="40"/>
      <c r="AD106" s="11"/>
      <c r="AE106" s="40"/>
      <c r="AF106" s="40"/>
      <c r="AG106" s="40"/>
      <c r="AH106" s="40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0"/>
      <c r="BB106" s="33"/>
      <c r="BC106" s="33"/>
      <c r="BD106" s="33"/>
    </row>
    <row r="107" spans="1:56">
      <c r="A107" s="75"/>
      <c r="B107" s="43"/>
      <c r="C107" s="18"/>
      <c r="D107" s="18"/>
      <c r="E107" s="18"/>
      <c r="F107" s="18"/>
      <c r="G107" s="18"/>
      <c r="H107" s="18"/>
      <c r="I107" s="39"/>
      <c r="J107" s="18"/>
      <c r="K107" s="18" t="s">
        <v>59</v>
      </c>
      <c r="L107" s="18"/>
      <c r="M107" s="18"/>
      <c r="N107" s="18"/>
      <c r="O107" s="18"/>
      <c r="P107" s="18"/>
      <c r="Q107" s="18"/>
      <c r="R107" s="18"/>
      <c r="S107" s="18"/>
      <c r="T107" s="18" t="s">
        <v>62</v>
      </c>
      <c r="U107" s="18"/>
      <c r="V107" s="18"/>
      <c r="W107" s="40"/>
      <c r="X107" s="40"/>
      <c r="Y107" s="41"/>
      <c r="Z107" s="40"/>
      <c r="AA107" s="42"/>
      <c r="AB107" s="42"/>
      <c r="AC107" s="40"/>
      <c r="AD107" s="11"/>
      <c r="AE107" s="40"/>
      <c r="AF107" s="40"/>
      <c r="AG107" s="40"/>
      <c r="AH107" s="40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0"/>
      <c r="BB107" s="33"/>
      <c r="BC107" s="33"/>
      <c r="BD107" s="33"/>
    </row>
    <row r="108" spans="1:56">
      <c r="A108" s="75"/>
      <c r="B108" s="43"/>
      <c r="C108" s="18"/>
      <c r="D108" s="18"/>
      <c r="E108" s="18"/>
      <c r="F108" s="18"/>
      <c r="G108" s="18"/>
      <c r="H108" s="18"/>
      <c r="I108" s="39"/>
      <c r="J108" s="18"/>
      <c r="K108" s="18" t="s">
        <v>59</v>
      </c>
      <c r="L108" s="18"/>
      <c r="M108" s="18"/>
      <c r="N108" s="18"/>
      <c r="O108" s="18"/>
      <c r="P108" s="18"/>
      <c r="Q108" s="18"/>
      <c r="R108" s="18"/>
      <c r="S108" s="18"/>
      <c r="T108" s="18" t="s">
        <v>62</v>
      </c>
      <c r="U108" s="18"/>
      <c r="V108" s="18"/>
      <c r="W108" s="40"/>
      <c r="X108" s="40"/>
      <c r="Y108" s="41"/>
      <c r="Z108" s="40"/>
      <c r="AA108" s="42"/>
      <c r="AB108" s="42"/>
      <c r="AC108" s="40"/>
      <c r="AD108" s="11"/>
      <c r="AE108" s="40"/>
      <c r="AF108" s="40"/>
      <c r="AG108" s="40"/>
      <c r="AH108" s="40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0"/>
      <c r="BB108" s="33"/>
      <c r="BC108" s="33"/>
      <c r="BD108" s="33"/>
    </row>
    <row r="109" spans="1:56">
      <c r="A109" s="75"/>
      <c r="B109" s="43"/>
      <c r="C109" s="18"/>
      <c r="D109" s="18"/>
      <c r="E109" s="18"/>
      <c r="F109" s="18"/>
      <c r="G109" s="18"/>
      <c r="H109" s="18"/>
      <c r="I109" s="39"/>
      <c r="J109" s="18"/>
      <c r="K109" s="18" t="s">
        <v>59</v>
      </c>
      <c r="L109" s="18"/>
      <c r="M109" s="18"/>
      <c r="N109" s="18"/>
      <c r="O109" s="18"/>
      <c r="P109" s="18"/>
      <c r="Q109" s="18"/>
      <c r="R109" s="18"/>
      <c r="S109" s="18"/>
      <c r="T109" s="18" t="s">
        <v>62</v>
      </c>
      <c r="U109" s="18"/>
      <c r="V109" s="18"/>
      <c r="W109" s="40"/>
      <c r="X109" s="40"/>
      <c r="Y109" s="41"/>
      <c r="Z109" s="40"/>
      <c r="AA109" s="42"/>
      <c r="AB109" s="42"/>
      <c r="AC109" s="40"/>
      <c r="AD109" s="11"/>
      <c r="AE109" s="40"/>
      <c r="AF109" s="40"/>
      <c r="AG109" s="40"/>
      <c r="AH109" s="40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0"/>
      <c r="BB109" s="33"/>
      <c r="BC109" s="33"/>
      <c r="BD109" s="33"/>
    </row>
    <row r="110" spans="1:56">
      <c r="A110" s="75"/>
      <c r="B110" s="43"/>
      <c r="C110" s="18"/>
      <c r="D110" s="18"/>
      <c r="E110" s="18"/>
      <c r="F110" s="18"/>
      <c r="G110" s="18"/>
      <c r="H110" s="18"/>
      <c r="I110" s="39"/>
      <c r="J110" s="18"/>
      <c r="K110" s="18" t="s">
        <v>59</v>
      </c>
      <c r="L110" s="18"/>
      <c r="M110" s="18"/>
      <c r="N110" s="18"/>
      <c r="O110" s="18"/>
      <c r="P110" s="18"/>
      <c r="Q110" s="18"/>
      <c r="R110" s="18"/>
      <c r="S110" s="18"/>
      <c r="T110" s="18" t="s">
        <v>62</v>
      </c>
      <c r="U110" s="18"/>
      <c r="V110" s="18"/>
      <c r="W110" s="40"/>
      <c r="X110" s="40"/>
      <c r="Y110" s="41"/>
      <c r="Z110" s="40"/>
      <c r="AA110" s="42"/>
      <c r="AB110" s="42"/>
      <c r="AC110" s="40"/>
      <c r="AD110" s="11"/>
      <c r="AE110" s="40"/>
      <c r="AF110" s="40"/>
      <c r="AG110" s="40"/>
      <c r="AH110" s="40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0"/>
      <c r="BB110" s="33"/>
      <c r="BC110" s="33"/>
      <c r="BD110" s="33"/>
    </row>
    <row r="111" spans="1:56">
      <c r="A111" s="75"/>
      <c r="B111" s="43"/>
      <c r="C111" s="18"/>
      <c r="D111" s="18"/>
      <c r="E111" s="18"/>
      <c r="F111" s="18"/>
      <c r="G111" s="18"/>
      <c r="H111" s="18"/>
      <c r="I111" s="39"/>
      <c r="J111" s="18"/>
      <c r="K111" s="18" t="s">
        <v>59</v>
      </c>
      <c r="L111" s="18"/>
      <c r="M111" s="18"/>
      <c r="N111" s="18"/>
      <c r="O111" s="18"/>
      <c r="P111" s="18"/>
      <c r="Q111" s="18"/>
      <c r="R111" s="18"/>
      <c r="S111" s="18"/>
      <c r="T111" s="18" t="s">
        <v>62</v>
      </c>
      <c r="U111" s="18"/>
      <c r="V111" s="18"/>
      <c r="W111" s="40"/>
      <c r="X111" s="40"/>
      <c r="Y111" s="41"/>
      <c r="Z111" s="40"/>
      <c r="AA111" s="42"/>
      <c r="AB111" s="42"/>
      <c r="AC111" s="40"/>
      <c r="AD111" s="11"/>
      <c r="AE111" s="40"/>
      <c r="AF111" s="40"/>
      <c r="AG111" s="40"/>
      <c r="AH111" s="40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0"/>
      <c r="BB111" s="33"/>
      <c r="BC111" s="33"/>
      <c r="BD111" s="33"/>
    </row>
    <row r="112" spans="1:56">
      <c r="A112" s="75"/>
      <c r="B112" s="43"/>
      <c r="C112" s="18"/>
      <c r="D112" s="18"/>
      <c r="E112" s="18"/>
      <c r="F112" s="18"/>
      <c r="G112" s="18"/>
      <c r="H112" s="18"/>
      <c r="I112" s="39"/>
      <c r="J112" s="18"/>
      <c r="K112" s="18" t="s">
        <v>59</v>
      </c>
      <c r="L112" s="18"/>
      <c r="M112" s="18"/>
      <c r="N112" s="18"/>
      <c r="O112" s="18"/>
      <c r="P112" s="18"/>
      <c r="Q112" s="18"/>
      <c r="R112" s="18"/>
      <c r="S112" s="18"/>
      <c r="T112" s="18" t="s">
        <v>62</v>
      </c>
      <c r="U112" s="18"/>
      <c r="V112" s="18"/>
      <c r="W112" s="40"/>
      <c r="X112" s="40"/>
      <c r="Y112" s="41"/>
      <c r="Z112" s="40"/>
      <c r="AA112" s="42"/>
      <c r="AB112" s="42"/>
      <c r="AC112" s="40"/>
      <c r="AD112" s="11"/>
      <c r="AE112" s="40"/>
      <c r="AF112" s="40"/>
      <c r="AG112" s="40"/>
      <c r="AH112" s="40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0"/>
      <c r="BB112" s="33"/>
      <c r="BC112" s="33"/>
      <c r="BD112" s="33"/>
    </row>
    <row r="113" spans="1:56">
      <c r="A113" s="75"/>
      <c r="B113" s="43"/>
      <c r="C113" s="18"/>
      <c r="D113" s="18"/>
      <c r="E113" s="18"/>
      <c r="F113" s="18"/>
      <c r="G113" s="18"/>
      <c r="H113" s="18"/>
      <c r="I113" s="39"/>
      <c r="J113" s="18"/>
      <c r="K113" s="18" t="s">
        <v>59</v>
      </c>
      <c r="L113" s="18"/>
      <c r="M113" s="18"/>
      <c r="N113" s="18"/>
      <c r="O113" s="18"/>
      <c r="P113" s="18"/>
      <c r="Q113" s="18"/>
      <c r="R113" s="18"/>
      <c r="S113" s="18"/>
      <c r="T113" s="18" t="s">
        <v>62</v>
      </c>
      <c r="U113" s="18"/>
      <c r="V113" s="18"/>
      <c r="W113" s="40"/>
      <c r="X113" s="40"/>
      <c r="Y113" s="41"/>
      <c r="Z113" s="40"/>
      <c r="AA113" s="42"/>
      <c r="AB113" s="42"/>
      <c r="AC113" s="40"/>
      <c r="AD113" s="11"/>
      <c r="AE113" s="40"/>
      <c r="AF113" s="40"/>
      <c r="AG113" s="40"/>
      <c r="AH113" s="40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0"/>
      <c r="BB113" s="33"/>
      <c r="BC113" s="33"/>
      <c r="BD113" s="33"/>
    </row>
    <row r="114" spans="1:56">
      <c r="A114" s="75"/>
      <c r="B114" s="43"/>
      <c r="C114" s="18"/>
      <c r="D114" s="18"/>
      <c r="E114" s="18"/>
      <c r="F114" s="18"/>
      <c r="G114" s="18"/>
      <c r="H114" s="18"/>
      <c r="I114" s="39"/>
      <c r="J114" s="18"/>
      <c r="K114" s="18" t="s">
        <v>59</v>
      </c>
      <c r="L114" s="18"/>
      <c r="M114" s="18"/>
      <c r="N114" s="18"/>
      <c r="O114" s="18"/>
      <c r="P114" s="18"/>
      <c r="Q114" s="18"/>
      <c r="R114" s="18"/>
      <c r="S114" s="18"/>
      <c r="T114" s="18" t="s">
        <v>62</v>
      </c>
      <c r="U114" s="18"/>
      <c r="V114" s="18"/>
      <c r="W114" s="40"/>
      <c r="X114" s="40"/>
      <c r="Y114" s="41"/>
      <c r="Z114" s="40"/>
      <c r="AA114" s="42"/>
      <c r="AB114" s="42"/>
      <c r="AC114" s="40"/>
      <c r="AD114" s="11"/>
      <c r="AE114" s="40"/>
      <c r="AF114" s="40"/>
      <c r="AG114" s="40"/>
      <c r="AH114" s="40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0"/>
      <c r="BB114" s="33"/>
      <c r="BC114" s="33"/>
      <c r="BD114" s="33"/>
    </row>
    <row r="115" spans="1:56">
      <c r="A115" s="75"/>
      <c r="B115" s="43"/>
      <c r="C115" s="18"/>
      <c r="D115" s="18"/>
      <c r="E115" s="18"/>
      <c r="F115" s="18"/>
      <c r="G115" s="18"/>
      <c r="H115" s="18"/>
      <c r="I115" s="39"/>
      <c r="J115" s="18"/>
      <c r="K115" s="18" t="s">
        <v>59</v>
      </c>
      <c r="L115" s="18"/>
      <c r="M115" s="18"/>
      <c r="N115" s="18"/>
      <c r="O115" s="18"/>
      <c r="P115" s="18"/>
      <c r="Q115" s="18"/>
      <c r="R115" s="18"/>
      <c r="S115" s="18"/>
      <c r="T115" s="18" t="s">
        <v>62</v>
      </c>
      <c r="U115" s="18"/>
      <c r="V115" s="18"/>
      <c r="W115" s="40"/>
      <c r="X115" s="40"/>
      <c r="Y115" s="41"/>
      <c r="Z115" s="40"/>
      <c r="AA115" s="42"/>
      <c r="AB115" s="42"/>
      <c r="AC115" s="40"/>
      <c r="AD115" s="11"/>
      <c r="AE115" s="40"/>
      <c r="AF115" s="40"/>
      <c r="AG115" s="40"/>
      <c r="AH115" s="40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0"/>
      <c r="BB115" s="33"/>
      <c r="BC115" s="33"/>
      <c r="BD115" s="33"/>
    </row>
    <row r="116" spans="1:56">
      <c r="A116" s="75"/>
      <c r="B116" s="43"/>
      <c r="C116" s="18"/>
      <c r="D116" s="18"/>
      <c r="E116" s="18"/>
      <c r="F116" s="18"/>
      <c r="G116" s="18"/>
      <c r="H116" s="18"/>
      <c r="I116" s="39"/>
      <c r="J116" s="18"/>
      <c r="K116" s="18" t="s">
        <v>59</v>
      </c>
      <c r="L116" s="18"/>
      <c r="M116" s="18"/>
      <c r="N116" s="18"/>
      <c r="O116" s="18"/>
      <c r="P116" s="18"/>
      <c r="Q116" s="18"/>
      <c r="R116" s="18"/>
      <c r="S116" s="18"/>
      <c r="T116" s="18" t="s">
        <v>62</v>
      </c>
      <c r="U116" s="18"/>
      <c r="V116" s="18"/>
      <c r="W116" s="40"/>
      <c r="X116" s="40"/>
      <c r="Y116" s="41"/>
      <c r="Z116" s="40"/>
      <c r="AA116" s="42"/>
      <c r="AB116" s="42"/>
      <c r="AC116" s="40"/>
      <c r="AD116" s="11"/>
      <c r="AE116" s="40"/>
      <c r="AF116" s="40"/>
      <c r="AG116" s="40"/>
      <c r="AH116" s="40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0"/>
      <c r="BB116" s="33"/>
      <c r="BC116" s="33"/>
      <c r="BD116" s="33"/>
    </row>
    <row r="117" spans="1:56">
      <c r="A117" s="75"/>
      <c r="B117" s="43"/>
      <c r="C117" s="18"/>
      <c r="D117" s="18"/>
      <c r="E117" s="18"/>
      <c r="F117" s="18"/>
      <c r="G117" s="18"/>
      <c r="H117" s="18"/>
      <c r="I117" s="39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 t="s">
        <v>62</v>
      </c>
      <c r="U117" s="18"/>
      <c r="V117" s="18"/>
      <c r="W117" s="40"/>
      <c r="X117" s="40"/>
      <c r="Y117" s="41"/>
      <c r="Z117" s="40"/>
      <c r="AA117" s="42"/>
      <c r="AB117" s="42"/>
      <c r="AC117" s="40"/>
      <c r="AD117" s="11"/>
      <c r="AE117" s="40"/>
      <c r="AF117" s="40"/>
      <c r="AG117" s="40"/>
      <c r="AH117" s="40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0"/>
      <c r="BB117" s="33"/>
      <c r="BC117" s="33"/>
      <c r="BD117" s="33"/>
    </row>
    <row r="118" spans="1:56">
      <c r="A118" s="75"/>
      <c r="B118" s="43"/>
      <c r="C118" s="18"/>
      <c r="D118" s="18"/>
      <c r="E118" s="18"/>
      <c r="F118" s="18"/>
      <c r="G118" s="18"/>
      <c r="H118" s="18"/>
      <c r="I118" s="39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 t="s">
        <v>62</v>
      </c>
      <c r="U118" s="18"/>
      <c r="V118" s="18"/>
      <c r="W118" s="40"/>
      <c r="X118" s="40"/>
      <c r="Y118" s="41"/>
      <c r="Z118" s="40"/>
      <c r="AA118" s="42"/>
      <c r="AB118" s="42"/>
      <c r="AC118" s="40"/>
      <c r="AD118" s="11"/>
      <c r="AE118" s="40"/>
      <c r="AF118" s="40"/>
      <c r="AG118" s="40"/>
      <c r="AH118" s="40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0"/>
      <c r="BB118" s="33"/>
      <c r="BC118" s="33"/>
      <c r="BD118" s="33"/>
    </row>
    <row r="119" spans="1:56">
      <c r="A119" s="75"/>
      <c r="B119" s="43"/>
      <c r="C119" s="18"/>
      <c r="D119" s="18"/>
      <c r="E119" s="18"/>
      <c r="F119" s="18"/>
      <c r="G119" s="18"/>
      <c r="H119" s="18"/>
      <c r="I119" s="39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 t="s">
        <v>62</v>
      </c>
      <c r="U119" s="18"/>
      <c r="V119" s="18"/>
      <c r="W119" s="40"/>
      <c r="X119" s="40"/>
      <c r="Y119" s="41"/>
      <c r="Z119" s="40"/>
      <c r="AA119" s="40"/>
      <c r="AB119" s="42"/>
      <c r="AC119" s="40"/>
      <c r="AD119" s="11"/>
      <c r="AE119" s="40"/>
      <c r="AF119" s="40"/>
      <c r="AG119" s="40"/>
      <c r="AH119" s="40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0"/>
      <c r="BB119" s="33"/>
      <c r="BC119" s="33"/>
      <c r="BD119" s="33"/>
    </row>
    <row r="120" spans="1:56">
      <c r="A120" s="75"/>
      <c r="B120" s="43"/>
      <c r="C120" s="18"/>
      <c r="D120" s="18"/>
      <c r="E120" s="18"/>
      <c r="F120" s="18"/>
      <c r="G120" s="18"/>
      <c r="H120" s="18"/>
      <c r="I120" s="39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 t="s">
        <v>62</v>
      </c>
      <c r="U120" s="18"/>
      <c r="V120" s="18"/>
      <c r="W120" s="40"/>
      <c r="X120" s="40"/>
      <c r="Y120" s="41"/>
      <c r="Z120" s="40"/>
      <c r="AA120" s="40"/>
      <c r="AB120" s="42"/>
      <c r="AC120" s="40"/>
      <c r="AD120" s="11"/>
      <c r="AE120" s="40"/>
      <c r="AF120" s="40"/>
      <c r="AG120" s="40"/>
      <c r="AH120" s="40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0"/>
      <c r="BB120" s="33"/>
      <c r="BC120" s="33"/>
      <c r="BD120" s="33"/>
    </row>
    <row r="121" spans="1:56">
      <c r="A121" s="75"/>
      <c r="B121" s="43"/>
      <c r="C121" s="18"/>
      <c r="D121" s="18"/>
      <c r="E121" s="18"/>
      <c r="F121" s="18"/>
      <c r="G121" s="18"/>
      <c r="H121" s="18"/>
      <c r="I121" s="39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 t="s">
        <v>62</v>
      </c>
      <c r="U121" s="18"/>
      <c r="V121" s="18"/>
      <c r="W121" s="40"/>
      <c r="X121" s="40"/>
      <c r="Y121" s="41"/>
      <c r="Z121" s="40"/>
      <c r="AA121" s="40"/>
      <c r="AB121" s="42"/>
      <c r="AC121" s="40"/>
      <c r="AD121" s="11"/>
      <c r="AE121" s="40"/>
      <c r="AF121" s="40"/>
      <c r="AG121" s="40"/>
      <c r="AH121" s="40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0"/>
      <c r="BB121" s="33"/>
      <c r="BC121" s="33"/>
      <c r="BD121" s="33"/>
    </row>
    <row r="122" spans="1:56">
      <c r="A122" s="75"/>
      <c r="B122" s="43"/>
      <c r="C122" s="18"/>
      <c r="D122" s="18"/>
      <c r="E122" s="18"/>
      <c r="F122" s="18"/>
      <c r="G122" s="18"/>
      <c r="H122" s="18"/>
      <c r="I122" s="39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 t="s">
        <v>62</v>
      </c>
      <c r="U122" s="18"/>
      <c r="V122" s="18"/>
      <c r="W122" s="40"/>
      <c r="X122" s="40"/>
      <c r="Y122" s="41"/>
      <c r="Z122" s="40"/>
      <c r="AA122" s="40"/>
      <c r="AB122" s="42"/>
      <c r="AC122" s="40"/>
      <c r="AD122" s="11"/>
      <c r="AE122" s="40"/>
      <c r="AF122" s="40"/>
      <c r="AG122" s="40"/>
      <c r="AH122" s="40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0"/>
      <c r="BB122" s="33"/>
      <c r="BC122" s="33"/>
      <c r="BD122" s="33"/>
    </row>
    <row r="123" spans="1:56">
      <c r="A123" s="75"/>
      <c r="B123" s="43"/>
      <c r="C123" s="18"/>
      <c r="D123" s="18"/>
      <c r="E123" s="18"/>
      <c r="F123" s="18"/>
      <c r="G123" s="18"/>
      <c r="H123" s="18"/>
      <c r="I123" s="39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 t="s">
        <v>62</v>
      </c>
      <c r="U123" s="18"/>
      <c r="V123" s="18"/>
      <c r="W123" s="40"/>
      <c r="X123" s="40"/>
      <c r="Y123" s="41"/>
      <c r="Z123" s="40"/>
      <c r="AA123" s="40"/>
      <c r="AB123" s="42"/>
      <c r="AC123" s="40"/>
      <c r="AD123" s="11"/>
      <c r="AE123" s="40"/>
      <c r="AF123" s="40"/>
      <c r="AG123" s="40"/>
      <c r="AH123" s="40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0"/>
      <c r="BB123" s="33"/>
      <c r="BC123" s="33"/>
      <c r="BD123" s="33"/>
    </row>
    <row r="124" spans="1:56">
      <c r="A124" s="75"/>
      <c r="B124" s="43"/>
      <c r="C124" s="18"/>
      <c r="D124" s="18"/>
      <c r="E124" s="18"/>
      <c r="F124" s="18"/>
      <c r="G124" s="18"/>
      <c r="H124" s="18"/>
      <c r="I124" s="39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 t="s">
        <v>62</v>
      </c>
      <c r="U124" s="18"/>
      <c r="V124" s="18"/>
      <c r="W124" s="40"/>
      <c r="X124" s="40"/>
      <c r="Y124" s="41"/>
      <c r="Z124" s="40"/>
      <c r="AA124" s="40"/>
      <c r="AB124" s="42"/>
      <c r="AC124" s="40"/>
      <c r="AD124" s="11"/>
      <c r="AE124" s="40"/>
      <c r="AF124" s="40"/>
      <c r="AG124" s="40"/>
      <c r="AH124" s="40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0"/>
      <c r="BB124" s="33"/>
      <c r="BC124" s="33"/>
      <c r="BD124" s="33"/>
    </row>
    <row r="125" spans="1:56"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</row>
    <row r="126" spans="1:56"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</row>
  </sheetData>
  <phoneticPr fontId="3" type="noConversion"/>
  <pageMargins left="0.7" right="0.7" top="0.75" bottom="0.75" header="0.3" footer="0.3"/>
  <pageSetup orientation="portrait" r:id="rId1"/>
  <customProperties>
    <customPr name="EpmWorksheetKeyString_GUID" r:id="rId2"/>
  </customProperties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63349ABE-AFFC-470C-88CE-7673B70DDE1C}">
            <xm:f>NOT(ISERROR(SEARCH(Lista!$S$4,AI1)))</xm:f>
            <xm:f>Lista!$S$4</xm:f>
            <x14:dxf>
              <fill>
                <patternFill>
                  <bgColor rgb="FFFF0000"/>
                </patternFill>
              </fill>
            </x14:dxf>
          </x14:cfRule>
          <xm:sqref>AI1:AI59 AI61:AI1048576</xm:sqref>
        </x14:conditionalFormatting>
        <x14:conditionalFormatting xmlns:xm="http://schemas.microsoft.com/office/excel/2006/main">
          <x14:cfRule type="containsText" priority="5" operator="containsText" id="{82901A8D-8A57-4DF8-8A40-847520510FDF}">
            <xm:f>NOT(ISERROR(SEARCH(Lista!$S$3,AI2)))</xm:f>
            <xm:f>Lista!$S$3</xm:f>
            <x14:dxf>
              <fill>
                <patternFill>
                  <bgColor rgb="FF92D050"/>
                </patternFill>
              </fill>
            </x14:dxf>
          </x14:cfRule>
          <xm:sqref>AI2</xm:sqref>
        </x14:conditionalFormatting>
        <x14:conditionalFormatting xmlns:xm="http://schemas.microsoft.com/office/excel/2006/main">
          <x14:cfRule type="containsText" priority="1" operator="containsText" id="{C2456FD6-25CD-4C94-8AFC-3E621AC90860}">
            <xm:f>NOT(ISERROR(SEARCH(Lista!$T$5,AJ1)))</xm:f>
            <xm:f>Lista!$T$5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DD0BE9B6-AF11-4EF6-BCBC-2BB758ACE7C2}">
            <xm:f>NOT(ISERROR(SEARCH(Lista!$T$4,AJ1)))</xm:f>
            <xm:f>Lista!$T$4</xm:f>
            <x14:dxf>
              <fill>
                <patternFill>
                  <bgColor rgb="FFFFFF00"/>
                </patternFill>
              </fill>
            </x14:dxf>
          </x14:cfRule>
          <x14:cfRule type="containsText" priority="3" operator="containsText" id="{3C4EA9AC-7846-4833-A0D7-821E84ADD955}">
            <xm:f>NOT(ISERROR(SEARCH(Lista!$T$3,AJ1)))</xm:f>
            <xm:f>Lista!$T$3</xm:f>
            <x14:dxf>
              <fill>
                <patternFill>
                  <bgColor rgb="FF92D050"/>
                </patternFill>
              </fill>
            </x14:dxf>
          </x14:cfRule>
          <xm:sqref>AJ1:AY59 AJ60 AJ61:AY124 AJ125:AJ1048576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7E67-4D49-4490-B7B2-BFB4B84E5A25}">
  <dimension ref="A1:T84"/>
  <sheetViews>
    <sheetView workbookViewId="0">
      <selection activeCell="F15" sqref="F15"/>
    </sheetView>
  </sheetViews>
  <sheetFormatPr defaultColWidth="8.85546875" defaultRowHeight="14.45"/>
  <cols>
    <col min="1" max="1" width="15.28515625" style="58" customWidth="1"/>
    <col min="2" max="2" width="8.85546875" style="58"/>
    <col min="3" max="3" width="10.7109375" style="58" customWidth="1"/>
    <col min="4" max="4" width="9.28515625" style="58" customWidth="1"/>
    <col min="5" max="5" width="12" style="58" customWidth="1"/>
    <col min="6" max="6" width="7.85546875" style="58" customWidth="1"/>
    <col min="7" max="7" width="12.42578125" style="58" customWidth="1"/>
    <col min="8" max="8" width="11.7109375" style="58" customWidth="1"/>
    <col min="9" max="9" width="10.5703125" style="58" customWidth="1"/>
    <col min="10" max="10" width="17.85546875" style="58" bestFit="1" customWidth="1"/>
    <col min="11" max="11" width="15.42578125" style="58" customWidth="1"/>
    <col min="12" max="12" width="10.85546875" style="58" customWidth="1"/>
    <col min="13" max="13" width="11.85546875" style="58" customWidth="1"/>
    <col min="14" max="14" width="15" style="58" customWidth="1"/>
    <col min="15" max="15" width="14.7109375" style="58" customWidth="1"/>
    <col min="16" max="16" width="13.7109375" style="58" customWidth="1"/>
    <col min="17" max="17" width="16.28515625" style="58" customWidth="1"/>
    <col min="18" max="18" width="18" style="58" customWidth="1"/>
    <col min="19" max="19" width="9.5703125" style="58" customWidth="1"/>
    <col min="20" max="20" width="84.7109375" style="60" bestFit="1" customWidth="1"/>
    <col min="21" max="16384" width="8.85546875" style="58"/>
  </cols>
  <sheetData>
    <row r="1" spans="1:20" s="57" customFormat="1" ht="28.9">
      <c r="A1" s="57" t="s">
        <v>354</v>
      </c>
      <c r="B1" s="57" t="s">
        <v>4</v>
      </c>
      <c r="C1" s="57" t="s">
        <v>5</v>
      </c>
      <c r="D1" s="57" t="s">
        <v>304</v>
      </c>
      <c r="E1" s="57" t="s">
        <v>355</v>
      </c>
      <c r="F1" s="57" t="s">
        <v>356</v>
      </c>
      <c r="G1" s="57" t="s">
        <v>357</v>
      </c>
      <c r="H1" s="57" t="s">
        <v>103</v>
      </c>
      <c r="I1" s="57" t="s">
        <v>358</v>
      </c>
      <c r="J1" s="57" t="s">
        <v>359</v>
      </c>
      <c r="K1" s="57" t="s">
        <v>360</v>
      </c>
      <c r="L1" s="57" t="s">
        <v>361</v>
      </c>
      <c r="M1" s="57" t="s">
        <v>342</v>
      </c>
      <c r="N1" s="57" t="s">
        <v>100</v>
      </c>
      <c r="O1" s="57" t="s">
        <v>362</v>
      </c>
      <c r="P1" s="57" t="s">
        <v>363</v>
      </c>
      <c r="Q1" s="57" t="s">
        <v>364</v>
      </c>
      <c r="R1" s="57" t="s">
        <v>365</v>
      </c>
      <c r="S1" s="57" t="s">
        <v>63</v>
      </c>
      <c r="T1" s="57" t="s">
        <v>366</v>
      </c>
    </row>
    <row r="2" spans="1:20">
      <c r="A2" s="58" t="s">
        <v>102</v>
      </c>
      <c r="B2" s="59" t="s">
        <v>54</v>
      </c>
      <c r="C2" s="58" t="s">
        <v>55</v>
      </c>
      <c r="D2" s="58">
        <v>0</v>
      </c>
      <c r="E2" s="58">
        <v>0</v>
      </c>
      <c r="F2" s="58">
        <v>0</v>
      </c>
      <c r="G2" s="58">
        <v>0</v>
      </c>
      <c r="H2" s="58">
        <v>0</v>
      </c>
      <c r="I2" s="58">
        <v>0</v>
      </c>
      <c r="J2" s="58">
        <v>0</v>
      </c>
      <c r="K2" s="58">
        <v>0</v>
      </c>
      <c r="L2" s="58">
        <v>0</v>
      </c>
      <c r="M2" s="58">
        <v>0</v>
      </c>
      <c r="N2" s="58">
        <v>0</v>
      </c>
      <c r="O2" s="58">
        <v>0</v>
      </c>
      <c r="P2" s="58">
        <v>0</v>
      </c>
      <c r="Q2" s="58">
        <v>0</v>
      </c>
      <c r="R2" s="58">
        <v>0</v>
      </c>
      <c r="S2" s="58">
        <v>1</v>
      </c>
      <c r="T2" s="60" t="s">
        <v>367</v>
      </c>
    </row>
    <row r="3" spans="1:20">
      <c r="A3" s="58" t="s">
        <v>69</v>
      </c>
      <c r="B3" s="58">
        <v>4</v>
      </c>
      <c r="C3" s="58" t="s">
        <v>55</v>
      </c>
      <c r="D3" s="58">
        <v>0</v>
      </c>
      <c r="E3" s="58">
        <v>0</v>
      </c>
      <c r="G3" s="58">
        <v>0</v>
      </c>
      <c r="H3" s="58">
        <v>0</v>
      </c>
      <c r="I3" s="58">
        <v>0</v>
      </c>
      <c r="J3" s="58">
        <v>0</v>
      </c>
      <c r="K3" s="58">
        <v>0</v>
      </c>
      <c r="L3" s="58">
        <v>1</v>
      </c>
      <c r="M3" s="58">
        <v>1</v>
      </c>
      <c r="N3" s="58">
        <v>0</v>
      </c>
      <c r="O3" s="58">
        <v>0</v>
      </c>
      <c r="P3" s="58">
        <v>0</v>
      </c>
      <c r="Q3" s="58">
        <v>0</v>
      </c>
      <c r="R3" s="58">
        <v>0</v>
      </c>
      <c r="S3" s="58">
        <v>0</v>
      </c>
      <c r="T3" s="12" t="s">
        <v>368</v>
      </c>
    </row>
    <row r="4" spans="1:20">
      <c r="A4" s="58" t="s">
        <v>75</v>
      </c>
      <c r="B4" s="58">
        <v>5</v>
      </c>
      <c r="C4" s="58" t="s">
        <v>55</v>
      </c>
      <c r="D4" s="58">
        <v>0</v>
      </c>
      <c r="E4" s="58">
        <v>1</v>
      </c>
      <c r="F4" s="58">
        <v>0</v>
      </c>
      <c r="G4" s="58">
        <v>0</v>
      </c>
      <c r="H4" s="58">
        <v>0</v>
      </c>
      <c r="I4" s="58">
        <v>0</v>
      </c>
      <c r="J4" s="58"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8">
        <v>0</v>
      </c>
      <c r="Q4" s="58">
        <v>0</v>
      </c>
      <c r="R4" s="58">
        <v>0</v>
      </c>
      <c r="S4" s="58">
        <v>1</v>
      </c>
      <c r="T4" s="60" t="s">
        <v>369</v>
      </c>
    </row>
    <row r="5" spans="1:20">
      <c r="A5" s="58" t="s">
        <v>79</v>
      </c>
      <c r="B5" s="58">
        <v>5</v>
      </c>
      <c r="C5" s="58" t="s">
        <v>55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1</v>
      </c>
      <c r="T5" s="60" t="s">
        <v>370</v>
      </c>
    </row>
    <row r="6" spans="1:20">
      <c r="A6" s="58" t="s">
        <v>82</v>
      </c>
      <c r="B6" s="58">
        <v>6</v>
      </c>
      <c r="C6" s="58" t="s">
        <v>55</v>
      </c>
      <c r="D6" s="58">
        <v>0</v>
      </c>
      <c r="E6" s="58">
        <v>0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1</v>
      </c>
      <c r="T6" s="60" t="s">
        <v>367</v>
      </c>
    </row>
    <row r="7" spans="1:20">
      <c r="A7" s="58" t="s">
        <v>83</v>
      </c>
      <c r="B7" s="58">
        <v>6</v>
      </c>
      <c r="C7" s="58" t="s">
        <v>55</v>
      </c>
      <c r="D7" s="58">
        <v>0</v>
      </c>
      <c r="E7" s="58">
        <v>0</v>
      </c>
      <c r="F7" s="58">
        <v>0</v>
      </c>
      <c r="G7" s="58">
        <v>0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1</v>
      </c>
      <c r="T7" s="60" t="s">
        <v>371</v>
      </c>
    </row>
    <row r="8" spans="1:20">
      <c r="A8" s="58" t="s">
        <v>85</v>
      </c>
      <c r="B8" s="58">
        <v>6</v>
      </c>
      <c r="C8" s="58" t="s">
        <v>55</v>
      </c>
      <c r="D8" s="58">
        <v>0</v>
      </c>
      <c r="E8" s="58">
        <v>0</v>
      </c>
      <c r="F8" s="58">
        <v>0</v>
      </c>
      <c r="G8" s="58">
        <v>0</v>
      </c>
      <c r="H8" s="58">
        <v>0</v>
      </c>
      <c r="I8" s="58">
        <v>0</v>
      </c>
      <c r="J8" s="58">
        <v>1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60" t="s">
        <v>372</v>
      </c>
    </row>
    <row r="9" spans="1:20">
      <c r="A9" s="58" t="s">
        <v>89</v>
      </c>
      <c r="B9" s="58">
        <v>6</v>
      </c>
      <c r="C9" s="58" t="s">
        <v>55</v>
      </c>
      <c r="D9" s="58">
        <v>1</v>
      </c>
      <c r="E9" s="58">
        <v>0</v>
      </c>
      <c r="F9" s="58">
        <v>0</v>
      </c>
      <c r="G9" s="58">
        <v>0</v>
      </c>
      <c r="H9" s="58">
        <v>0</v>
      </c>
      <c r="I9" s="58">
        <v>0</v>
      </c>
      <c r="J9" s="58">
        <v>0</v>
      </c>
      <c r="K9" s="58">
        <v>1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0</v>
      </c>
      <c r="S9" s="58">
        <v>0</v>
      </c>
      <c r="T9" s="60" t="s">
        <v>373</v>
      </c>
    </row>
    <row r="10" spans="1:20">
      <c r="A10" s="58" t="s">
        <v>93</v>
      </c>
      <c r="B10" s="58">
        <v>6</v>
      </c>
      <c r="C10" s="58" t="s">
        <v>55</v>
      </c>
      <c r="D10" s="58">
        <v>0</v>
      </c>
      <c r="E10" s="58">
        <v>0</v>
      </c>
      <c r="F10" s="58">
        <v>1</v>
      </c>
      <c r="G10" s="58">
        <v>1</v>
      </c>
      <c r="H10" s="58">
        <v>0</v>
      </c>
      <c r="I10" s="58">
        <v>0</v>
      </c>
      <c r="J10" s="58">
        <v>0</v>
      </c>
      <c r="K10" s="58">
        <v>13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60" t="s">
        <v>374</v>
      </c>
    </row>
    <row r="11" spans="1:20">
      <c r="A11" s="58" t="s">
        <v>96</v>
      </c>
      <c r="B11" s="58">
        <v>6</v>
      </c>
      <c r="C11" s="58" t="s">
        <v>55</v>
      </c>
      <c r="D11" s="58">
        <v>0</v>
      </c>
      <c r="E11" s="58">
        <v>1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1</v>
      </c>
      <c r="R11" s="58">
        <v>0</v>
      </c>
      <c r="S11" s="58">
        <v>0</v>
      </c>
      <c r="T11" s="60" t="s">
        <v>375</v>
      </c>
    </row>
    <row r="12" spans="1:20">
      <c r="A12" s="58" t="s">
        <v>99</v>
      </c>
      <c r="B12" s="58">
        <v>6</v>
      </c>
      <c r="C12" s="58" t="s">
        <v>55</v>
      </c>
      <c r="D12" s="58">
        <v>0</v>
      </c>
      <c r="E12" s="58">
        <v>0</v>
      </c>
      <c r="F12" s="58">
        <v>0</v>
      </c>
      <c r="G12" s="58">
        <v>0</v>
      </c>
      <c r="H12" s="58">
        <v>0</v>
      </c>
      <c r="I12" s="58">
        <v>0</v>
      </c>
      <c r="J12" s="58">
        <v>0</v>
      </c>
      <c r="K12" s="58">
        <v>0</v>
      </c>
      <c r="L12" s="58">
        <v>0</v>
      </c>
      <c r="M12" s="58">
        <v>0</v>
      </c>
      <c r="N12" s="58">
        <v>1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60" t="s">
        <v>376</v>
      </c>
    </row>
    <row r="13" spans="1:20">
      <c r="A13" s="58" t="s">
        <v>101</v>
      </c>
      <c r="B13" s="58">
        <v>6</v>
      </c>
      <c r="C13" s="58" t="s">
        <v>55</v>
      </c>
      <c r="D13" s="58">
        <v>0</v>
      </c>
      <c r="E13" s="58">
        <v>0</v>
      </c>
      <c r="F13" s="58">
        <v>0</v>
      </c>
      <c r="G13" s="58">
        <v>0</v>
      </c>
      <c r="H13" s="58">
        <v>1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60" t="s">
        <v>377</v>
      </c>
    </row>
    <row r="14" spans="1:20">
      <c r="A14" s="58" t="s">
        <v>105</v>
      </c>
      <c r="B14" s="58">
        <v>6</v>
      </c>
      <c r="C14" s="58" t="s">
        <v>55</v>
      </c>
      <c r="D14" s="58">
        <v>0</v>
      </c>
      <c r="E14" s="58">
        <v>0</v>
      </c>
      <c r="F14" s="58">
        <v>0</v>
      </c>
      <c r="G14" s="58">
        <v>0</v>
      </c>
      <c r="H14" s="58">
        <v>1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60" t="s">
        <v>378</v>
      </c>
    </row>
    <row r="15" spans="1:20">
      <c r="A15" s="58" t="s">
        <v>110</v>
      </c>
      <c r="B15" s="58">
        <v>8</v>
      </c>
      <c r="C15" s="58" t="s">
        <v>55</v>
      </c>
      <c r="D15" s="58">
        <v>0</v>
      </c>
      <c r="E15" s="58">
        <v>0</v>
      </c>
      <c r="F15" s="58">
        <v>0</v>
      </c>
      <c r="G15" s="58">
        <v>0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1</v>
      </c>
      <c r="N15" s="58">
        <v>1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60" t="s">
        <v>379</v>
      </c>
    </row>
    <row r="16" spans="1:20" ht="28.9">
      <c r="A16" s="58" t="s">
        <v>113</v>
      </c>
      <c r="B16" s="58">
        <v>8</v>
      </c>
      <c r="C16" s="58" t="s">
        <v>55</v>
      </c>
      <c r="D16" s="58">
        <v>1</v>
      </c>
      <c r="E16" s="58">
        <v>0</v>
      </c>
      <c r="F16" s="58">
        <v>0</v>
      </c>
      <c r="G16" s="58">
        <v>1</v>
      </c>
      <c r="H16" s="58">
        <v>0</v>
      </c>
      <c r="I16" s="58">
        <v>0</v>
      </c>
      <c r="J16" s="58">
        <v>0</v>
      </c>
      <c r="K16" s="58">
        <v>1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1</v>
      </c>
      <c r="S16" s="58">
        <v>0</v>
      </c>
      <c r="T16" s="61" t="s">
        <v>380</v>
      </c>
    </row>
    <row r="17" spans="1:20">
      <c r="A17" s="16" t="s">
        <v>117</v>
      </c>
      <c r="B17" s="58">
        <v>8</v>
      </c>
      <c r="C17" s="58" t="s">
        <v>55</v>
      </c>
      <c r="D17" s="58">
        <v>0</v>
      </c>
      <c r="E17" s="58">
        <v>0</v>
      </c>
      <c r="F17" s="58">
        <v>0</v>
      </c>
      <c r="G17" s="58">
        <v>0</v>
      </c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8">
        <v>0</v>
      </c>
      <c r="N17" s="58">
        <v>1</v>
      </c>
      <c r="O17" s="58">
        <v>0</v>
      </c>
      <c r="P17" s="58">
        <v>0</v>
      </c>
      <c r="Q17" s="58">
        <v>0</v>
      </c>
      <c r="R17" s="58">
        <v>1</v>
      </c>
      <c r="S17" s="58">
        <v>0</v>
      </c>
      <c r="T17" s="60" t="s">
        <v>381</v>
      </c>
    </row>
    <row r="18" spans="1:20">
      <c r="A18" s="16" t="s">
        <v>122</v>
      </c>
      <c r="B18" s="58">
        <v>8</v>
      </c>
      <c r="C18" s="58" t="s">
        <v>55</v>
      </c>
      <c r="D18" s="58">
        <v>1</v>
      </c>
      <c r="E18" s="58">
        <v>0</v>
      </c>
      <c r="F18" s="58">
        <v>0</v>
      </c>
      <c r="G18" s="58">
        <v>1</v>
      </c>
      <c r="H18" s="58">
        <v>0</v>
      </c>
      <c r="I18" s="58">
        <v>0</v>
      </c>
      <c r="J18" s="58">
        <v>1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60" t="s">
        <v>382</v>
      </c>
    </row>
    <row r="19" spans="1:20" ht="43.15">
      <c r="A19" s="16" t="s">
        <v>126</v>
      </c>
      <c r="B19" s="58">
        <v>8</v>
      </c>
      <c r="C19" s="58" t="s">
        <v>55</v>
      </c>
      <c r="D19" s="58">
        <v>2</v>
      </c>
      <c r="E19" s="58">
        <v>0</v>
      </c>
      <c r="F19" s="58">
        <v>0</v>
      </c>
      <c r="G19" s="58">
        <v>2</v>
      </c>
      <c r="H19" s="58">
        <v>0</v>
      </c>
      <c r="I19" s="58">
        <v>0</v>
      </c>
      <c r="J19" s="58">
        <v>2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1</v>
      </c>
      <c r="S19" s="58">
        <v>0</v>
      </c>
      <c r="T19" s="61" t="s">
        <v>383</v>
      </c>
    </row>
    <row r="20" spans="1:20">
      <c r="A20" s="16" t="s">
        <v>130</v>
      </c>
      <c r="B20" s="58">
        <v>8</v>
      </c>
      <c r="C20" s="58" t="s">
        <v>55</v>
      </c>
      <c r="D20" s="58">
        <v>0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1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60" t="s">
        <v>384</v>
      </c>
    </row>
    <row r="21" spans="1:20" ht="43.15">
      <c r="A21" s="11" t="s">
        <v>132</v>
      </c>
      <c r="B21" s="58">
        <v>8</v>
      </c>
      <c r="C21" s="58" t="s">
        <v>55</v>
      </c>
      <c r="D21" s="58">
        <v>1</v>
      </c>
      <c r="E21" s="58">
        <v>0</v>
      </c>
      <c r="F21" s="58">
        <v>0</v>
      </c>
      <c r="G21" s="58">
        <v>1</v>
      </c>
      <c r="H21" s="58">
        <v>1</v>
      </c>
      <c r="I21" s="58">
        <v>0</v>
      </c>
      <c r="J21" s="58">
        <v>1</v>
      </c>
      <c r="K21" s="58">
        <v>0</v>
      </c>
      <c r="L21" s="58">
        <v>0</v>
      </c>
      <c r="M21" s="58">
        <v>0</v>
      </c>
      <c r="N21" s="58">
        <v>1</v>
      </c>
      <c r="O21" s="58">
        <v>0</v>
      </c>
      <c r="P21" s="58">
        <v>0</v>
      </c>
      <c r="Q21" s="58">
        <v>1</v>
      </c>
      <c r="R21" s="58">
        <v>0</v>
      </c>
      <c r="S21" s="58">
        <v>0</v>
      </c>
      <c r="T21" s="61" t="s">
        <v>385</v>
      </c>
    </row>
    <row r="22" spans="1:20">
      <c r="A22" s="11" t="s">
        <v>135</v>
      </c>
      <c r="B22" s="58">
        <v>8</v>
      </c>
      <c r="C22" s="58" t="s">
        <v>55</v>
      </c>
      <c r="D22" s="58">
        <v>0</v>
      </c>
      <c r="E22" s="58">
        <v>0</v>
      </c>
      <c r="F22" s="58">
        <v>0</v>
      </c>
      <c r="G22" s="58">
        <v>1</v>
      </c>
      <c r="H22" s="58">
        <v>0</v>
      </c>
      <c r="I22" s="58">
        <v>0</v>
      </c>
      <c r="J22" s="58">
        <v>1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60" t="s">
        <v>386</v>
      </c>
    </row>
    <row r="23" spans="1:20" ht="28.9">
      <c r="A23" s="11" t="s">
        <v>139</v>
      </c>
      <c r="B23" s="58">
        <v>8</v>
      </c>
      <c r="C23" s="58" t="s">
        <v>55</v>
      </c>
      <c r="D23" s="58">
        <v>1</v>
      </c>
      <c r="E23" s="58">
        <v>0</v>
      </c>
      <c r="F23" s="58">
        <v>0</v>
      </c>
      <c r="G23" s="58">
        <v>1</v>
      </c>
      <c r="H23" s="58">
        <v>1</v>
      </c>
      <c r="I23" s="58">
        <v>0</v>
      </c>
      <c r="J23" s="58">
        <v>1</v>
      </c>
      <c r="K23" s="58">
        <v>1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61" t="s">
        <v>387</v>
      </c>
    </row>
    <row r="24" spans="1:20">
      <c r="A24" s="11" t="s">
        <v>143</v>
      </c>
      <c r="B24" s="58">
        <v>9</v>
      </c>
      <c r="C24" s="58" t="s">
        <v>55</v>
      </c>
      <c r="D24" s="58">
        <v>1</v>
      </c>
      <c r="E24" s="58">
        <v>0</v>
      </c>
      <c r="F24" s="58">
        <v>0</v>
      </c>
      <c r="G24" s="58">
        <v>0</v>
      </c>
      <c r="H24" s="58">
        <v>0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1</v>
      </c>
      <c r="T24" s="60" t="s">
        <v>388</v>
      </c>
    </row>
    <row r="25" spans="1:20" ht="43.15">
      <c r="A25" s="58" t="s">
        <v>147</v>
      </c>
      <c r="B25" s="58">
        <v>10</v>
      </c>
      <c r="C25" s="58" t="s">
        <v>55</v>
      </c>
      <c r="D25" s="58">
        <v>1</v>
      </c>
      <c r="E25" s="58">
        <v>0</v>
      </c>
      <c r="F25" s="58">
        <v>0</v>
      </c>
      <c r="G25" s="58">
        <v>2</v>
      </c>
      <c r="H25" s="58">
        <v>1</v>
      </c>
      <c r="I25" s="58">
        <v>0</v>
      </c>
      <c r="J25" s="58">
        <v>2</v>
      </c>
      <c r="K25" s="58">
        <v>0</v>
      </c>
      <c r="L25" s="58">
        <v>0</v>
      </c>
      <c r="M25" s="58">
        <v>0</v>
      </c>
      <c r="N25" s="58">
        <v>1</v>
      </c>
      <c r="O25" s="58">
        <v>0</v>
      </c>
      <c r="P25" s="58">
        <v>0</v>
      </c>
      <c r="Q25" s="58">
        <v>0</v>
      </c>
      <c r="R25" s="58">
        <v>1</v>
      </c>
      <c r="S25" s="58">
        <v>1</v>
      </c>
      <c r="T25" s="61" t="s">
        <v>389</v>
      </c>
    </row>
    <row r="26" spans="1:20" ht="28.9">
      <c r="A26" s="58" t="s">
        <v>151</v>
      </c>
      <c r="B26" s="58">
        <v>10</v>
      </c>
      <c r="C26" s="58" t="s">
        <v>55</v>
      </c>
      <c r="D26" s="58">
        <v>1</v>
      </c>
      <c r="E26" s="58">
        <v>0</v>
      </c>
      <c r="F26" s="58">
        <v>0</v>
      </c>
      <c r="G26" s="58">
        <v>1</v>
      </c>
      <c r="H26" s="58">
        <v>0</v>
      </c>
      <c r="I26" s="58">
        <v>0</v>
      </c>
      <c r="J26" s="58">
        <v>1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1</v>
      </c>
      <c r="R26" s="58">
        <v>0</v>
      </c>
      <c r="S26" s="58">
        <v>0</v>
      </c>
      <c r="T26" s="61" t="s">
        <v>390</v>
      </c>
    </row>
    <row r="27" spans="1:20">
      <c r="A27" s="58" t="s">
        <v>155</v>
      </c>
      <c r="B27" s="58">
        <v>10</v>
      </c>
      <c r="C27" s="58" t="s">
        <v>55</v>
      </c>
      <c r="D27" s="58">
        <v>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1</v>
      </c>
      <c r="S27" s="58">
        <v>0</v>
      </c>
      <c r="T27" s="60" t="s">
        <v>391</v>
      </c>
    </row>
    <row r="28" spans="1:20">
      <c r="A28" s="58" t="s">
        <v>158</v>
      </c>
      <c r="B28" s="58">
        <v>10</v>
      </c>
      <c r="C28" s="58" t="s">
        <v>55</v>
      </c>
      <c r="D28" s="58">
        <v>1</v>
      </c>
      <c r="E28" s="58">
        <v>0</v>
      </c>
      <c r="F28" s="58">
        <v>0</v>
      </c>
      <c r="G28" s="58">
        <v>1</v>
      </c>
      <c r="H28" s="58">
        <v>0</v>
      </c>
      <c r="I28" s="58">
        <v>0</v>
      </c>
      <c r="J28" s="58">
        <v>1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60" t="s">
        <v>392</v>
      </c>
    </row>
    <row r="29" spans="1:20">
      <c r="A29" s="58" t="s">
        <v>162</v>
      </c>
      <c r="B29" s="58">
        <v>10</v>
      </c>
      <c r="C29" s="58" t="s">
        <v>55</v>
      </c>
      <c r="D29" s="58">
        <v>0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60" t="s">
        <v>367</v>
      </c>
    </row>
    <row r="30" spans="1:20" ht="28.9">
      <c r="A30" s="58" t="s">
        <v>164</v>
      </c>
      <c r="B30" s="58">
        <v>10</v>
      </c>
      <c r="C30" s="58" t="s">
        <v>55</v>
      </c>
      <c r="D30" s="58">
        <v>0</v>
      </c>
      <c r="E30" s="58">
        <v>0</v>
      </c>
      <c r="F30" s="58">
        <v>0</v>
      </c>
      <c r="G30" s="58">
        <v>1</v>
      </c>
      <c r="H30" s="58">
        <v>1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1</v>
      </c>
      <c r="T30" s="61" t="s">
        <v>393</v>
      </c>
    </row>
    <row r="31" spans="1:20" ht="28.9">
      <c r="A31" s="58" t="s">
        <v>168</v>
      </c>
      <c r="B31" s="58">
        <v>10</v>
      </c>
      <c r="C31" s="58" t="s">
        <v>55</v>
      </c>
      <c r="D31" s="58">
        <v>1</v>
      </c>
      <c r="E31" s="58">
        <v>0</v>
      </c>
      <c r="F31" s="58">
        <v>0</v>
      </c>
      <c r="G31" s="58">
        <v>1</v>
      </c>
      <c r="H31" s="58">
        <v>1</v>
      </c>
      <c r="I31" s="58">
        <v>0</v>
      </c>
      <c r="J31" s="58">
        <v>1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1</v>
      </c>
      <c r="T31" s="61" t="s">
        <v>394</v>
      </c>
    </row>
    <row r="32" spans="1:20">
      <c r="A32" s="58" t="s">
        <v>172</v>
      </c>
      <c r="B32" s="58">
        <v>10</v>
      </c>
      <c r="C32" s="58" t="s">
        <v>55</v>
      </c>
      <c r="D32" s="58">
        <v>0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60" t="s">
        <v>367</v>
      </c>
    </row>
    <row r="33" spans="1:20">
      <c r="A33" s="58" t="s">
        <v>175</v>
      </c>
      <c r="B33" s="58">
        <v>10</v>
      </c>
      <c r="C33" s="58" t="s">
        <v>55</v>
      </c>
      <c r="D33" s="58">
        <v>0</v>
      </c>
      <c r="E33" s="58">
        <v>0</v>
      </c>
      <c r="F33" s="58">
        <v>0</v>
      </c>
      <c r="G33" s="58">
        <v>1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1</v>
      </c>
      <c r="O33" s="58">
        <v>0</v>
      </c>
      <c r="P33" s="58">
        <v>0</v>
      </c>
      <c r="Q33" s="58">
        <v>0</v>
      </c>
      <c r="R33" s="58">
        <v>1</v>
      </c>
      <c r="S33" s="58">
        <v>1</v>
      </c>
      <c r="T33" s="60" t="s">
        <v>395</v>
      </c>
    </row>
    <row r="34" spans="1:20">
      <c r="A34" s="58" t="s">
        <v>179</v>
      </c>
      <c r="B34" s="58">
        <v>10</v>
      </c>
      <c r="C34" s="58" t="s">
        <v>55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60" t="s">
        <v>396</v>
      </c>
    </row>
    <row r="35" spans="1:20">
      <c r="A35" s="58" t="s">
        <v>182</v>
      </c>
      <c r="B35" s="58">
        <v>10</v>
      </c>
      <c r="C35" s="58" t="s">
        <v>55</v>
      </c>
      <c r="D35" s="58">
        <v>0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1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60" t="s">
        <v>397</v>
      </c>
    </row>
    <row r="36" spans="1:20" ht="28.9">
      <c r="A36" s="58" t="s">
        <v>186</v>
      </c>
      <c r="B36" s="58">
        <v>10</v>
      </c>
      <c r="C36" s="58" t="s">
        <v>55</v>
      </c>
      <c r="D36" s="58">
        <v>0</v>
      </c>
      <c r="E36" s="58">
        <v>0</v>
      </c>
      <c r="F36" s="58">
        <v>0</v>
      </c>
      <c r="G36" s="58">
        <v>1</v>
      </c>
      <c r="H36" s="58">
        <v>0</v>
      </c>
      <c r="I36" s="58">
        <v>0</v>
      </c>
      <c r="J36" s="58">
        <v>0</v>
      </c>
      <c r="K36" s="58">
        <v>2</v>
      </c>
      <c r="L36" s="58">
        <v>0</v>
      </c>
      <c r="M36" s="58">
        <v>0</v>
      </c>
      <c r="N36" s="58">
        <v>1</v>
      </c>
      <c r="O36" s="58">
        <v>0</v>
      </c>
      <c r="P36" s="58">
        <v>0</v>
      </c>
      <c r="Q36" s="58">
        <v>0</v>
      </c>
      <c r="R36" s="58">
        <v>1</v>
      </c>
      <c r="S36" s="58">
        <v>1</v>
      </c>
      <c r="T36" s="61" t="s">
        <v>398</v>
      </c>
    </row>
    <row r="37" spans="1:20" ht="100.9">
      <c r="A37" s="58" t="s">
        <v>190</v>
      </c>
      <c r="B37" s="58">
        <v>10</v>
      </c>
      <c r="C37" s="58" t="s">
        <v>55</v>
      </c>
      <c r="D37" s="58">
        <v>1</v>
      </c>
      <c r="E37" s="58">
        <v>1</v>
      </c>
      <c r="F37" s="58">
        <v>1</v>
      </c>
      <c r="G37" s="58">
        <v>1</v>
      </c>
      <c r="H37" s="58">
        <v>1</v>
      </c>
      <c r="I37" s="58">
        <v>0</v>
      </c>
      <c r="J37" s="58">
        <v>1</v>
      </c>
      <c r="K37" s="58">
        <v>1</v>
      </c>
      <c r="L37" s="58">
        <v>0</v>
      </c>
      <c r="M37" s="58">
        <v>0</v>
      </c>
      <c r="N37" s="58">
        <v>1</v>
      </c>
      <c r="O37" s="58">
        <v>1</v>
      </c>
      <c r="P37" s="58">
        <v>0</v>
      </c>
      <c r="Q37" s="58">
        <v>1</v>
      </c>
      <c r="R37" s="58">
        <v>1</v>
      </c>
      <c r="S37" s="58">
        <v>7</v>
      </c>
      <c r="T37" s="61" t="s">
        <v>399</v>
      </c>
    </row>
    <row r="38" spans="1:20" ht="28.9">
      <c r="A38" s="58" t="s">
        <v>193</v>
      </c>
      <c r="B38" s="58">
        <v>10</v>
      </c>
      <c r="C38" s="58" t="s">
        <v>55</v>
      </c>
      <c r="D38" s="58">
        <v>0</v>
      </c>
      <c r="E38" s="58">
        <v>0</v>
      </c>
      <c r="F38" s="58">
        <v>0</v>
      </c>
      <c r="G38" s="58">
        <v>0</v>
      </c>
      <c r="H38" s="58">
        <v>0</v>
      </c>
      <c r="I38" s="58">
        <v>0</v>
      </c>
      <c r="J38" s="58">
        <v>1</v>
      </c>
      <c r="K38" s="58">
        <v>0</v>
      </c>
      <c r="L38" s="58">
        <v>0</v>
      </c>
      <c r="M38" s="58">
        <v>0</v>
      </c>
      <c r="N38" s="58">
        <v>1</v>
      </c>
      <c r="O38" s="58">
        <v>0</v>
      </c>
      <c r="P38" s="58">
        <v>0</v>
      </c>
      <c r="Q38" s="58">
        <v>0</v>
      </c>
      <c r="R38" s="58">
        <v>1</v>
      </c>
      <c r="S38" s="58">
        <v>1</v>
      </c>
      <c r="T38" s="61" t="s">
        <v>400</v>
      </c>
    </row>
    <row r="39" spans="1:20">
      <c r="A39" s="58" t="s">
        <v>197</v>
      </c>
      <c r="B39" s="58">
        <v>10</v>
      </c>
      <c r="C39" s="58" t="s">
        <v>55</v>
      </c>
      <c r="D39" s="58">
        <v>1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1</v>
      </c>
      <c r="T39" s="60" t="s">
        <v>401</v>
      </c>
    </row>
    <row r="40" spans="1:20">
      <c r="A40" s="58" t="s">
        <v>201</v>
      </c>
      <c r="B40" s="58">
        <v>10</v>
      </c>
      <c r="C40" s="58" t="s">
        <v>55</v>
      </c>
      <c r="D40" s="58">
        <v>0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1</v>
      </c>
      <c r="K40" s="58">
        <v>0</v>
      </c>
      <c r="L40" s="58">
        <v>0</v>
      </c>
      <c r="M40" s="58">
        <v>0</v>
      </c>
      <c r="N40" s="58">
        <v>1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60" t="s">
        <v>402</v>
      </c>
    </row>
    <row r="41" spans="1:20" ht="57.6">
      <c r="A41" s="18" t="s">
        <v>205</v>
      </c>
      <c r="B41" s="58">
        <v>10</v>
      </c>
      <c r="C41" s="58" t="s">
        <v>55</v>
      </c>
      <c r="D41" s="58">
        <v>1</v>
      </c>
      <c r="E41" s="58">
        <v>0</v>
      </c>
      <c r="F41" s="58">
        <v>0</v>
      </c>
      <c r="G41" s="58">
        <v>1</v>
      </c>
      <c r="H41" s="58">
        <v>1</v>
      </c>
      <c r="I41" s="58">
        <v>0</v>
      </c>
      <c r="J41" s="58">
        <v>1</v>
      </c>
      <c r="K41" s="58">
        <v>0</v>
      </c>
      <c r="L41" s="58">
        <v>0</v>
      </c>
      <c r="M41" s="58">
        <v>0</v>
      </c>
      <c r="N41" s="58">
        <v>1</v>
      </c>
      <c r="O41" s="58">
        <v>0</v>
      </c>
      <c r="P41" s="58">
        <v>0</v>
      </c>
      <c r="Q41" s="58">
        <v>0</v>
      </c>
      <c r="R41" s="58">
        <v>1</v>
      </c>
      <c r="S41" s="58">
        <v>4</v>
      </c>
      <c r="T41" s="61" t="s">
        <v>403</v>
      </c>
    </row>
    <row r="42" spans="1:20" ht="57.6">
      <c r="A42" s="18" t="s">
        <v>208</v>
      </c>
      <c r="B42" s="58">
        <v>10</v>
      </c>
      <c r="C42" s="58" t="s">
        <v>55</v>
      </c>
      <c r="D42" s="58">
        <v>1</v>
      </c>
      <c r="E42" s="58">
        <v>0</v>
      </c>
      <c r="F42" s="58">
        <v>0</v>
      </c>
      <c r="G42" s="58">
        <v>1</v>
      </c>
      <c r="H42" s="58">
        <v>1</v>
      </c>
      <c r="I42" s="58">
        <v>0</v>
      </c>
      <c r="J42" s="58">
        <v>1</v>
      </c>
      <c r="K42" s="58">
        <v>0</v>
      </c>
      <c r="L42" s="58">
        <v>0</v>
      </c>
      <c r="M42" s="58">
        <v>0</v>
      </c>
      <c r="N42" s="58">
        <v>1</v>
      </c>
      <c r="O42" s="58">
        <v>0</v>
      </c>
      <c r="P42" s="58">
        <v>0</v>
      </c>
      <c r="Q42" s="58">
        <v>0</v>
      </c>
      <c r="R42" s="58">
        <v>1</v>
      </c>
      <c r="S42" s="58">
        <v>2</v>
      </c>
      <c r="T42" s="61" t="s">
        <v>404</v>
      </c>
    </row>
    <row r="43" spans="1:20" ht="72">
      <c r="A43" s="18" t="s">
        <v>212</v>
      </c>
      <c r="B43" s="58">
        <v>10</v>
      </c>
      <c r="C43" s="58" t="s">
        <v>55</v>
      </c>
      <c r="D43" s="58">
        <v>1</v>
      </c>
      <c r="E43" s="58">
        <v>0</v>
      </c>
      <c r="F43" s="58">
        <v>0</v>
      </c>
      <c r="G43" s="58">
        <v>1</v>
      </c>
      <c r="H43" s="58">
        <v>1</v>
      </c>
      <c r="I43" s="58">
        <v>0</v>
      </c>
      <c r="J43" s="58">
        <v>1</v>
      </c>
      <c r="K43" s="58">
        <v>0</v>
      </c>
      <c r="L43" s="58">
        <v>0</v>
      </c>
      <c r="M43" s="58">
        <v>0</v>
      </c>
      <c r="N43" s="58">
        <v>1</v>
      </c>
      <c r="O43" s="58">
        <v>0</v>
      </c>
      <c r="P43" s="58">
        <v>0</v>
      </c>
      <c r="Q43" s="58">
        <v>0</v>
      </c>
      <c r="R43" s="58">
        <v>1</v>
      </c>
      <c r="S43" s="58">
        <v>5</v>
      </c>
      <c r="T43" s="61" t="s">
        <v>405</v>
      </c>
    </row>
    <row r="44" spans="1:20" ht="57.6">
      <c r="A44" s="18" t="s">
        <v>215</v>
      </c>
      <c r="B44" s="58">
        <v>10</v>
      </c>
      <c r="C44" s="58" t="s">
        <v>55</v>
      </c>
      <c r="D44" s="58">
        <v>1</v>
      </c>
      <c r="E44" s="58">
        <v>0</v>
      </c>
      <c r="F44" s="58">
        <v>1</v>
      </c>
      <c r="G44" s="58">
        <v>1</v>
      </c>
      <c r="H44" s="58">
        <v>1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1</v>
      </c>
      <c r="O44" s="58">
        <v>0</v>
      </c>
      <c r="P44" s="58">
        <v>0</v>
      </c>
      <c r="Q44" s="58">
        <v>0</v>
      </c>
      <c r="R44" s="58">
        <v>1</v>
      </c>
      <c r="S44" s="58">
        <v>7</v>
      </c>
      <c r="T44" s="61" t="s">
        <v>406</v>
      </c>
    </row>
    <row r="45" spans="1:20" ht="57.6">
      <c r="A45" s="18" t="s">
        <v>219</v>
      </c>
      <c r="B45" s="58">
        <v>10</v>
      </c>
      <c r="C45" s="58" t="s">
        <v>55</v>
      </c>
      <c r="D45" s="58">
        <v>1</v>
      </c>
      <c r="E45" s="58">
        <v>0</v>
      </c>
      <c r="F45" s="58">
        <v>0</v>
      </c>
      <c r="G45" s="58">
        <v>0</v>
      </c>
      <c r="H45" s="58">
        <v>1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1</v>
      </c>
      <c r="O45" s="58">
        <v>0</v>
      </c>
      <c r="P45" s="58">
        <v>0</v>
      </c>
      <c r="Q45" s="58">
        <v>0</v>
      </c>
      <c r="R45" s="58">
        <v>1</v>
      </c>
      <c r="S45" s="58">
        <v>3</v>
      </c>
      <c r="T45" s="61" t="s">
        <v>407</v>
      </c>
    </row>
    <row r="46" spans="1:20">
      <c r="A46" s="18" t="s">
        <v>223</v>
      </c>
      <c r="B46" s="58">
        <v>10</v>
      </c>
      <c r="C46" s="58" t="s">
        <v>55</v>
      </c>
      <c r="D46" s="58">
        <v>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2</v>
      </c>
      <c r="T46" s="60" t="s">
        <v>408</v>
      </c>
    </row>
    <row r="47" spans="1:20" ht="43.15">
      <c r="A47" s="18" t="s">
        <v>226</v>
      </c>
      <c r="B47" s="58">
        <v>10</v>
      </c>
      <c r="C47" s="58" t="s">
        <v>55</v>
      </c>
      <c r="D47" s="58">
        <v>1</v>
      </c>
      <c r="E47" s="58">
        <v>0</v>
      </c>
      <c r="F47" s="58">
        <v>0</v>
      </c>
      <c r="G47" s="58">
        <v>0</v>
      </c>
      <c r="H47" s="58">
        <v>1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1</v>
      </c>
      <c r="O47" s="58">
        <v>0</v>
      </c>
      <c r="P47" s="58">
        <v>0</v>
      </c>
      <c r="Q47" s="58">
        <v>0</v>
      </c>
      <c r="R47" s="58">
        <v>0</v>
      </c>
      <c r="S47" s="58">
        <v>3</v>
      </c>
      <c r="T47" s="61" t="s">
        <v>409</v>
      </c>
    </row>
    <row r="48" spans="1:20" ht="72">
      <c r="A48" s="18" t="s">
        <v>229</v>
      </c>
      <c r="B48" s="58">
        <v>10</v>
      </c>
      <c r="C48" s="58" t="s">
        <v>55</v>
      </c>
      <c r="D48" s="58">
        <v>1</v>
      </c>
      <c r="E48" s="58">
        <v>1</v>
      </c>
      <c r="F48" s="58">
        <v>0</v>
      </c>
      <c r="G48" s="58">
        <v>1</v>
      </c>
      <c r="H48" s="58">
        <v>0</v>
      </c>
      <c r="I48" s="58">
        <v>0</v>
      </c>
      <c r="J48" s="58">
        <v>1</v>
      </c>
      <c r="K48" s="58">
        <v>0</v>
      </c>
      <c r="L48" s="58">
        <v>0</v>
      </c>
      <c r="M48" s="58">
        <v>0</v>
      </c>
      <c r="N48" s="58">
        <v>1</v>
      </c>
      <c r="O48" s="58">
        <v>0</v>
      </c>
      <c r="P48" s="58">
        <v>0</v>
      </c>
      <c r="Q48" s="58">
        <v>0</v>
      </c>
      <c r="R48" s="58">
        <v>1</v>
      </c>
      <c r="S48" s="58">
        <v>5</v>
      </c>
      <c r="T48" s="61" t="s">
        <v>410</v>
      </c>
    </row>
    <row r="49" spans="1:20" ht="43.15">
      <c r="A49" s="18" t="s">
        <v>234</v>
      </c>
      <c r="B49" s="58">
        <v>10</v>
      </c>
      <c r="C49" s="58" t="s">
        <v>55</v>
      </c>
      <c r="D49" s="58">
        <v>0</v>
      </c>
      <c r="E49" s="58">
        <v>0</v>
      </c>
      <c r="F49" s="58">
        <v>0</v>
      </c>
      <c r="G49" s="58">
        <v>1</v>
      </c>
      <c r="H49" s="58">
        <v>0</v>
      </c>
      <c r="I49" s="58">
        <v>0</v>
      </c>
      <c r="J49" s="58">
        <v>1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4</v>
      </c>
      <c r="T49" s="61" t="s">
        <v>411</v>
      </c>
    </row>
    <row r="50" spans="1:20" ht="57.6">
      <c r="A50" s="18" t="s">
        <v>238</v>
      </c>
      <c r="B50" s="58">
        <v>10</v>
      </c>
      <c r="C50" s="58" t="s">
        <v>55</v>
      </c>
      <c r="D50" s="58">
        <v>1</v>
      </c>
      <c r="E50" s="58">
        <v>0</v>
      </c>
      <c r="F50" s="58">
        <v>0</v>
      </c>
      <c r="G50" s="58">
        <v>1</v>
      </c>
      <c r="H50" s="58">
        <v>1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3</v>
      </c>
      <c r="T50" s="61" t="s">
        <v>412</v>
      </c>
    </row>
    <row r="51" spans="1:20" ht="57.6">
      <c r="A51" s="18" t="s">
        <v>242</v>
      </c>
      <c r="B51" s="58">
        <v>10</v>
      </c>
      <c r="C51" s="58" t="s">
        <v>55</v>
      </c>
      <c r="D51" s="58">
        <v>0</v>
      </c>
      <c r="E51" s="58">
        <v>0</v>
      </c>
      <c r="F51" s="58">
        <v>0</v>
      </c>
      <c r="G51" s="58">
        <v>1</v>
      </c>
      <c r="H51" s="58">
        <v>1</v>
      </c>
      <c r="I51" s="58">
        <v>0</v>
      </c>
      <c r="J51" s="58">
        <v>1</v>
      </c>
      <c r="K51" s="58">
        <v>2</v>
      </c>
      <c r="L51" s="58">
        <v>0</v>
      </c>
      <c r="M51" s="58">
        <v>0</v>
      </c>
      <c r="N51" s="58">
        <v>1</v>
      </c>
      <c r="O51" s="58">
        <v>0</v>
      </c>
      <c r="P51" s="58">
        <v>0</v>
      </c>
      <c r="Q51" s="58">
        <v>1</v>
      </c>
      <c r="R51" s="58">
        <v>1</v>
      </c>
      <c r="S51" s="58">
        <v>3</v>
      </c>
      <c r="T51" s="61" t="s">
        <v>413</v>
      </c>
    </row>
    <row r="52" spans="1:20" ht="28.9">
      <c r="A52" s="58" t="s">
        <v>246</v>
      </c>
      <c r="B52" s="58">
        <v>10</v>
      </c>
      <c r="C52" s="58" t="s">
        <v>55</v>
      </c>
      <c r="D52" s="58">
        <v>0</v>
      </c>
      <c r="E52" s="58">
        <v>0</v>
      </c>
      <c r="F52" s="58">
        <v>0</v>
      </c>
      <c r="G52" s="58">
        <v>1</v>
      </c>
      <c r="H52" s="58">
        <v>1</v>
      </c>
      <c r="I52" s="58">
        <v>0</v>
      </c>
      <c r="J52" s="58">
        <v>1</v>
      </c>
      <c r="K52" s="58">
        <v>0</v>
      </c>
      <c r="L52" s="58">
        <v>0</v>
      </c>
      <c r="M52" s="58">
        <v>0</v>
      </c>
      <c r="N52" s="58">
        <v>1</v>
      </c>
      <c r="O52" s="58">
        <v>0</v>
      </c>
      <c r="P52" s="58">
        <v>0</v>
      </c>
      <c r="Q52" s="58">
        <v>0</v>
      </c>
      <c r="R52" s="58">
        <v>0</v>
      </c>
      <c r="S52" s="58">
        <v>1</v>
      </c>
      <c r="T52" s="61" t="s">
        <v>414</v>
      </c>
    </row>
    <row r="53" spans="1:20">
      <c r="A53" s="18" t="s">
        <v>250</v>
      </c>
      <c r="B53" s="58">
        <v>11</v>
      </c>
      <c r="C53" s="58" t="s">
        <v>55</v>
      </c>
      <c r="D53" s="58">
        <v>0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1</v>
      </c>
      <c r="O53" s="58">
        <v>0</v>
      </c>
      <c r="P53" s="58">
        <v>0</v>
      </c>
      <c r="Q53" s="58">
        <v>1</v>
      </c>
      <c r="R53" s="58">
        <v>1</v>
      </c>
      <c r="S53" s="58">
        <v>0</v>
      </c>
      <c r="T53" s="60" t="s">
        <v>415</v>
      </c>
    </row>
    <row r="54" spans="1:20">
      <c r="A54" s="18" t="s">
        <v>253</v>
      </c>
      <c r="B54" s="58">
        <v>11</v>
      </c>
      <c r="C54" s="58" t="s">
        <v>55</v>
      </c>
      <c r="D54" s="58">
        <v>0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60" t="s">
        <v>416</v>
      </c>
    </row>
    <row r="55" spans="1:20">
      <c r="A55" s="18" t="s">
        <v>257</v>
      </c>
      <c r="B55" s="58">
        <v>11</v>
      </c>
      <c r="C55" s="58" t="s">
        <v>55</v>
      </c>
      <c r="D55" s="58">
        <v>1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1</v>
      </c>
      <c r="K55" s="58">
        <v>1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60" t="s">
        <v>417</v>
      </c>
    </row>
    <row r="56" spans="1:20">
      <c r="A56" s="18" t="s">
        <v>261</v>
      </c>
      <c r="B56" s="58">
        <v>11</v>
      </c>
      <c r="C56" s="58" t="s">
        <v>55</v>
      </c>
      <c r="D56" s="58">
        <v>0</v>
      </c>
      <c r="E56" s="58">
        <v>0</v>
      </c>
      <c r="F56" s="58">
        <v>0</v>
      </c>
      <c r="G56" s="58">
        <v>1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60" t="s">
        <v>418</v>
      </c>
    </row>
    <row r="57" spans="1:20" ht="43.15">
      <c r="A57" s="18" t="s">
        <v>264</v>
      </c>
      <c r="B57" s="58">
        <v>11</v>
      </c>
      <c r="C57" s="58" t="s">
        <v>55</v>
      </c>
      <c r="D57" s="58">
        <v>0</v>
      </c>
      <c r="E57" s="58">
        <v>0</v>
      </c>
      <c r="F57" s="58">
        <v>0</v>
      </c>
      <c r="G57" s="58">
        <v>1</v>
      </c>
      <c r="H57" s="58">
        <v>0</v>
      </c>
      <c r="I57" s="58">
        <v>0</v>
      </c>
      <c r="J57" s="58">
        <v>1</v>
      </c>
      <c r="K57" s="58">
        <v>0</v>
      </c>
      <c r="L57" s="58">
        <v>0</v>
      </c>
      <c r="M57" s="58">
        <v>0</v>
      </c>
      <c r="N57" s="58">
        <v>1</v>
      </c>
      <c r="O57" s="58">
        <v>1</v>
      </c>
      <c r="P57" s="58">
        <v>0</v>
      </c>
      <c r="Q57" s="58">
        <v>1</v>
      </c>
      <c r="R57" s="58">
        <v>0</v>
      </c>
      <c r="S57" s="58">
        <v>2</v>
      </c>
      <c r="T57" s="61" t="s">
        <v>419</v>
      </c>
    </row>
    <row r="58" spans="1:20" ht="28.9">
      <c r="A58" s="18" t="s">
        <v>270</v>
      </c>
      <c r="B58" s="58">
        <v>11</v>
      </c>
      <c r="C58" s="58" t="s">
        <v>55</v>
      </c>
      <c r="D58" s="58">
        <v>1</v>
      </c>
      <c r="E58" s="58">
        <v>0</v>
      </c>
      <c r="F58" s="58">
        <v>0</v>
      </c>
      <c r="G58" s="58">
        <v>0</v>
      </c>
      <c r="H58" s="58">
        <v>0</v>
      </c>
      <c r="I58" s="58">
        <v>1</v>
      </c>
      <c r="J58" s="58">
        <v>1</v>
      </c>
      <c r="K58" s="58">
        <v>1</v>
      </c>
      <c r="L58" s="58">
        <v>0</v>
      </c>
      <c r="M58" s="58">
        <v>0</v>
      </c>
      <c r="N58" s="58">
        <v>0</v>
      </c>
      <c r="O58" s="58">
        <v>1</v>
      </c>
      <c r="P58" s="58">
        <v>0</v>
      </c>
      <c r="Q58" s="58">
        <v>0</v>
      </c>
      <c r="R58" s="58">
        <v>0</v>
      </c>
      <c r="S58" s="58">
        <v>0</v>
      </c>
      <c r="T58" s="61" t="s">
        <v>420</v>
      </c>
    </row>
    <row r="59" spans="1:20">
      <c r="A59" s="18" t="s">
        <v>268</v>
      </c>
      <c r="B59" s="58">
        <v>11</v>
      </c>
      <c r="C59" s="58" t="s">
        <v>55</v>
      </c>
      <c r="D59" s="58">
        <v>0</v>
      </c>
      <c r="E59" s="58">
        <v>0</v>
      </c>
      <c r="F59" s="58">
        <v>0</v>
      </c>
      <c r="G59" s="58">
        <v>1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60" t="s">
        <v>421</v>
      </c>
    </row>
    <row r="60" spans="1:20">
      <c r="A60" s="58" t="s">
        <v>276</v>
      </c>
      <c r="B60" s="58">
        <v>11</v>
      </c>
      <c r="C60" s="58" t="s">
        <v>55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60" t="s">
        <v>422</v>
      </c>
    </row>
    <row r="61" spans="1:20">
      <c r="A61" s="58" t="s">
        <v>277</v>
      </c>
      <c r="B61" s="58">
        <v>11</v>
      </c>
      <c r="C61" s="58" t="s">
        <v>55</v>
      </c>
      <c r="D61" s="58">
        <v>1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1</v>
      </c>
      <c r="O61" s="58">
        <v>1</v>
      </c>
      <c r="P61" s="58">
        <v>0</v>
      </c>
      <c r="Q61" s="58">
        <v>0</v>
      </c>
      <c r="R61" s="58">
        <v>0</v>
      </c>
      <c r="S61" s="58">
        <v>0</v>
      </c>
      <c r="T61" s="60" t="s">
        <v>423</v>
      </c>
    </row>
    <row r="62" spans="1:20">
      <c r="A62" s="58" t="s">
        <v>281</v>
      </c>
      <c r="B62" s="58">
        <v>11</v>
      </c>
      <c r="C62" s="58" t="s">
        <v>55</v>
      </c>
      <c r="D62" s="58">
        <v>0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1</v>
      </c>
      <c r="K62" s="58">
        <v>0</v>
      </c>
      <c r="L62" s="58">
        <v>0</v>
      </c>
      <c r="M62" s="58">
        <v>0</v>
      </c>
      <c r="N62" s="58">
        <v>1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60" t="s">
        <v>424</v>
      </c>
    </row>
    <row r="63" spans="1:20" ht="28.9">
      <c r="A63" s="58" t="s">
        <v>285</v>
      </c>
      <c r="B63" s="58">
        <v>11</v>
      </c>
      <c r="C63" s="58" t="s">
        <v>55</v>
      </c>
      <c r="D63" s="58">
        <v>0</v>
      </c>
      <c r="E63" s="58">
        <v>1</v>
      </c>
      <c r="F63" s="58">
        <v>0</v>
      </c>
      <c r="G63" s="58">
        <v>0</v>
      </c>
      <c r="H63" s="58">
        <v>0</v>
      </c>
      <c r="I63" s="58">
        <v>0</v>
      </c>
      <c r="J63" s="58">
        <v>1</v>
      </c>
      <c r="K63" s="58">
        <v>0</v>
      </c>
      <c r="L63" s="58">
        <v>0</v>
      </c>
      <c r="M63" s="58">
        <v>0</v>
      </c>
      <c r="N63" s="58">
        <v>0</v>
      </c>
      <c r="O63" s="58">
        <v>1</v>
      </c>
      <c r="P63" s="58">
        <v>0</v>
      </c>
      <c r="Q63" s="58">
        <v>0</v>
      </c>
      <c r="R63" s="58">
        <v>1</v>
      </c>
      <c r="S63" s="58">
        <v>0</v>
      </c>
      <c r="T63" s="61" t="s">
        <v>425</v>
      </c>
    </row>
    <row r="64" spans="1:20" ht="57.6">
      <c r="A64" s="58" t="s">
        <v>289</v>
      </c>
      <c r="B64" s="58">
        <v>11</v>
      </c>
      <c r="C64" s="58" t="s">
        <v>55</v>
      </c>
      <c r="D64" s="58">
        <v>1</v>
      </c>
      <c r="E64" s="58">
        <v>0</v>
      </c>
      <c r="F64" s="58">
        <v>0</v>
      </c>
      <c r="G64" s="58">
        <v>0</v>
      </c>
      <c r="H64" s="58">
        <v>1</v>
      </c>
      <c r="I64" s="58">
        <v>0</v>
      </c>
      <c r="J64" s="58">
        <v>1</v>
      </c>
      <c r="K64" s="58">
        <v>0</v>
      </c>
      <c r="L64" s="58">
        <v>0</v>
      </c>
      <c r="M64" s="58">
        <v>0</v>
      </c>
      <c r="N64" s="58">
        <v>0</v>
      </c>
      <c r="O64" s="58">
        <v>1</v>
      </c>
      <c r="P64" s="58">
        <v>0</v>
      </c>
      <c r="Q64" s="58">
        <v>0</v>
      </c>
      <c r="R64" s="58">
        <v>1</v>
      </c>
      <c r="S64" s="58">
        <v>4</v>
      </c>
      <c r="T64" s="61" t="s">
        <v>426</v>
      </c>
    </row>
    <row r="65" spans="1:20" ht="28.9">
      <c r="A65" s="58" t="s">
        <v>293</v>
      </c>
      <c r="B65" s="58">
        <v>11</v>
      </c>
      <c r="C65" s="58" t="s">
        <v>55</v>
      </c>
      <c r="D65" s="58">
        <v>1</v>
      </c>
      <c r="E65" s="58">
        <v>0</v>
      </c>
      <c r="F65" s="58">
        <v>0</v>
      </c>
      <c r="G65" s="58">
        <v>0</v>
      </c>
      <c r="H65" s="58">
        <v>1</v>
      </c>
      <c r="I65" s="58">
        <v>0</v>
      </c>
      <c r="J65" s="58">
        <v>1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2</v>
      </c>
      <c r="T65" s="61" t="s">
        <v>427</v>
      </c>
    </row>
    <row r="66" spans="1:20">
      <c r="A66" s="58" t="s">
        <v>297</v>
      </c>
      <c r="B66" s="58">
        <v>11</v>
      </c>
      <c r="C66" s="58" t="s">
        <v>55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1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60" t="s">
        <v>428</v>
      </c>
    </row>
    <row r="67" spans="1:20">
      <c r="A67" s="58" t="s">
        <v>299</v>
      </c>
      <c r="B67" s="58">
        <v>11</v>
      </c>
      <c r="C67" s="58" t="s">
        <v>55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1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60" t="s">
        <v>429</v>
      </c>
    </row>
    <row r="68" spans="1:20">
      <c r="A68" s="58" t="s">
        <v>302</v>
      </c>
      <c r="B68" s="58">
        <v>11</v>
      </c>
      <c r="C68" s="58" t="s">
        <v>55</v>
      </c>
      <c r="D68" s="58">
        <v>1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60" t="s">
        <v>430</v>
      </c>
    </row>
    <row r="69" spans="1:20">
      <c r="A69" s="58" t="s">
        <v>306</v>
      </c>
      <c r="B69" s="58">
        <v>11</v>
      </c>
      <c r="C69" s="58" t="s">
        <v>55</v>
      </c>
      <c r="D69" s="58">
        <v>1</v>
      </c>
      <c r="E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58">
        <v>0</v>
      </c>
      <c r="N69" s="58">
        <v>1</v>
      </c>
      <c r="O69" s="58">
        <v>0</v>
      </c>
      <c r="P69" s="58">
        <v>0</v>
      </c>
      <c r="Q69" s="58">
        <v>0</v>
      </c>
      <c r="R69" s="58">
        <v>0</v>
      </c>
      <c r="S69" s="58">
        <v>1</v>
      </c>
      <c r="T69" s="60" t="s">
        <v>431</v>
      </c>
    </row>
    <row r="70" spans="1:20" ht="28.9">
      <c r="A70" s="58" t="s">
        <v>310</v>
      </c>
      <c r="B70" s="58">
        <v>11</v>
      </c>
      <c r="C70" s="58" t="s">
        <v>55</v>
      </c>
      <c r="D70" s="58">
        <v>0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4</v>
      </c>
      <c r="T70" s="61" t="s">
        <v>432</v>
      </c>
    </row>
    <row r="71" spans="1:20" ht="28.9">
      <c r="A71" s="58" t="s">
        <v>313</v>
      </c>
      <c r="B71" s="58">
        <v>11</v>
      </c>
      <c r="C71" s="58" t="s">
        <v>55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1</v>
      </c>
      <c r="O71" s="58">
        <v>1</v>
      </c>
      <c r="P71" s="58">
        <v>0</v>
      </c>
      <c r="Q71" s="58">
        <v>0</v>
      </c>
      <c r="R71" s="58">
        <v>1</v>
      </c>
      <c r="S71" s="58">
        <v>0</v>
      </c>
      <c r="T71" s="61" t="s">
        <v>433</v>
      </c>
    </row>
    <row r="72" spans="1:20">
      <c r="A72" s="58" t="s">
        <v>316</v>
      </c>
      <c r="B72" s="58">
        <v>11</v>
      </c>
      <c r="C72" s="58" t="s">
        <v>55</v>
      </c>
      <c r="D72" s="58">
        <v>1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60" t="s">
        <v>434</v>
      </c>
    </row>
    <row r="73" spans="1:20">
      <c r="A73" s="58" t="s">
        <v>318</v>
      </c>
      <c r="B73" s="58">
        <v>11</v>
      </c>
      <c r="C73" s="58" t="s">
        <v>55</v>
      </c>
      <c r="D73" s="58">
        <v>0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1</v>
      </c>
      <c r="N73" s="58">
        <v>1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60" t="s">
        <v>435</v>
      </c>
    </row>
    <row r="74" spans="1:20" ht="28.9">
      <c r="A74" s="58" t="s">
        <v>320</v>
      </c>
      <c r="B74" s="58">
        <v>11</v>
      </c>
      <c r="C74" s="58" t="s">
        <v>55</v>
      </c>
      <c r="D74" s="58">
        <v>0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1</v>
      </c>
      <c r="N74" s="58">
        <v>1</v>
      </c>
      <c r="O74" s="58">
        <v>0</v>
      </c>
      <c r="P74" s="58">
        <v>0</v>
      </c>
      <c r="Q74" s="58">
        <v>0</v>
      </c>
      <c r="R74" s="58">
        <v>1</v>
      </c>
      <c r="S74" s="58">
        <v>1</v>
      </c>
      <c r="T74" s="61" t="s">
        <v>436</v>
      </c>
    </row>
    <row r="75" spans="1:20" ht="28.9">
      <c r="A75" s="58" t="s">
        <v>324</v>
      </c>
      <c r="B75" s="58">
        <v>11</v>
      </c>
      <c r="C75" s="58" t="s">
        <v>55</v>
      </c>
      <c r="D75" s="58">
        <v>0</v>
      </c>
      <c r="E75" s="58">
        <v>0</v>
      </c>
      <c r="F75" s="58">
        <v>0</v>
      </c>
      <c r="G75" s="58">
        <v>0</v>
      </c>
      <c r="H75" s="58">
        <v>1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1</v>
      </c>
      <c r="R75" s="58">
        <v>1</v>
      </c>
      <c r="S75" s="58">
        <v>0</v>
      </c>
      <c r="T75" s="61" t="s">
        <v>437</v>
      </c>
    </row>
    <row r="76" spans="1:20">
      <c r="A76" s="58" t="s">
        <v>328</v>
      </c>
      <c r="B76" s="58">
        <v>11</v>
      </c>
      <c r="C76" s="58" t="s">
        <v>55</v>
      </c>
      <c r="D76" s="58">
        <v>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60" t="s">
        <v>438</v>
      </c>
    </row>
    <row r="77" spans="1:20" ht="43.15">
      <c r="A77" s="58" t="s">
        <v>329</v>
      </c>
      <c r="B77" s="58">
        <v>11</v>
      </c>
      <c r="C77" s="58" t="s">
        <v>55</v>
      </c>
      <c r="D77" s="58">
        <v>0</v>
      </c>
      <c r="E77" s="58">
        <v>0</v>
      </c>
      <c r="F77" s="58">
        <v>0</v>
      </c>
      <c r="G77" s="58">
        <v>1</v>
      </c>
      <c r="H77" s="58">
        <v>1</v>
      </c>
      <c r="I77" s="58">
        <v>0</v>
      </c>
      <c r="J77" s="58">
        <v>1</v>
      </c>
      <c r="K77" s="58">
        <v>2</v>
      </c>
      <c r="L77" s="58">
        <v>0</v>
      </c>
      <c r="M77" s="58">
        <v>0</v>
      </c>
      <c r="N77" s="58">
        <v>1</v>
      </c>
      <c r="O77" s="58">
        <v>0</v>
      </c>
      <c r="P77" s="58">
        <v>0</v>
      </c>
      <c r="Q77" s="58">
        <v>0</v>
      </c>
      <c r="R77" s="58">
        <v>0</v>
      </c>
      <c r="S77" s="58">
        <v>1</v>
      </c>
      <c r="T77" s="61" t="s">
        <v>439</v>
      </c>
    </row>
    <row r="78" spans="1:20">
      <c r="A78" s="58" t="s">
        <v>333</v>
      </c>
      <c r="B78" s="58">
        <v>11</v>
      </c>
      <c r="C78" s="58" t="s">
        <v>55</v>
      </c>
      <c r="D78" s="58">
        <v>0</v>
      </c>
      <c r="E78" s="58">
        <v>0</v>
      </c>
      <c r="F78" s="58">
        <v>0</v>
      </c>
      <c r="G78" s="58">
        <v>0</v>
      </c>
      <c r="H78" s="58">
        <v>1</v>
      </c>
      <c r="I78" s="58">
        <v>0</v>
      </c>
      <c r="J78" s="58">
        <v>1</v>
      </c>
      <c r="K78" s="58">
        <v>0</v>
      </c>
      <c r="L78" s="58">
        <v>0</v>
      </c>
      <c r="M78" s="58">
        <v>1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60" t="s">
        <v>440</v>
      </c>
    </row>
    <row r="79" spans="1:20">
      <c r="A79" s="58" t="s">
        <v>337</v>
      </c>
      <c r="B79" s="58">
        <v>11</v>
      </c>
      <c r="C79" s="58" t="s">
        <v>55</v>
      </c>
      <c r="D79" s="58">
        <v>0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60" t="s">
        <v>438</v>
      </c>
    </row>
    <row r="80" spans="1:20">
      <c r="A80" s="58" t="s">
        <v>338</v>
      </c>
      <c r="B80" s="58">
        <v>11</v>
      </c>
      <c r="C80" s="58" t="s">
        <v>55</v>
      </c>
      <c r="D80" s="58">
        <v>0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1</v>
      </c>
      <c r="T80" s="60" t="s">
        <v>441</v>
      </c>
    </row>
    <row r="81" spans="1:20">
      <c r="A81" s="58" t="s">
        <v>340</v>
      </c>
      <c r="B81" s="58">
        <v>11</v>
      </c>
      <c r="C81" s="58" t="s">
        <v>55</v>
      </c>
      <c r="D81" s="58">
        <v>0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1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60" t="s">
        <v>442</v>
      </c>
    </row>
    <row r="82" spans="1:20">
      <c r="A82" s="58" t="s">
        <v>344</v>
      </c>
      <c r="B82" s="58">
        <v>11</v>
      </c>
      <c r="C82" s="58" t="s">
        <v>55</v>
      </c>
      <c r="D82" s="58">
        <v>0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1</v>
      </c>
      <c r="N82" s="58">
        <v>1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60" t="s">
        <v>443</v>
      </c>
    </row>
    <row r="83" spans="1:20">
      <c r="A83" s="58" t="s">
        <v>347</v>
      </c>
      <c r="B83" s="58">
        <v>11</v>
      </c>
      <c r="C83" s="58" t="s">
        <v>55</v>
      </c>
      <c r="D83" s="58">
        <v>0</v>
      </c>
      <c r="E83" s="58">
        <v>1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1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60" t="s">
        <v>444</v>
      </c>
    </row>
    <row r="84" spans="1:20" ht="28.9">
      <c r="A84" s="58" t="s">
        <v>351</v>
      </c>
      <c r="B84" s="58">
        <v>11</v>
      </c>
      <c r="C84" s="58" t="s">
        <v>55</v>
      </c>
      <c r="D84" s="58">
        <v>1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1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3</v>
      </c>
      <c r="T84" s="61" t="s">
        <v>445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020B-0181-4267-8CD8-B93420241CC0}">
  <dimension ref="A3:B19"/>
  <sheetViews>
    <sheetView zoomScale="107" zoomScaleNormal="107" workbookViewId="0">
      <selection activeCell="N26" sqref="N26"/>
    </sheetView>
  </sheetViews>
  <sheetFormatPr defaultRowHeight="14.45"/>
  <cols>
    <col min="1" max="1" width="33.28515625" bestFit="1" customWidth="1"/>
    <col min="2" max="2" width="4" bestFit="1" customWidth="1"/>
    <col min="3" max="14" width="7.85546875" bestFit="1" customWidth="1"/>
    <col min="15" max="15" width="6.7109375" bestFit="1" customWidth="1"/>
    <col min="16" max="16" width="10" bestFit="1" customWidth="1"/>
    <col min="17" max="18" width="11.28515625" bestFit="1" customWidth="1"/>
    <col min="19" max="19" width="10" bestFit="1" customWidth="1"/>
    <col min="20" max="23" width="6.7109375" bestFit="1" customWidth="1"/>
    <col min="24" max="24" width="8.7109375" bestFit="1" customWidth="1"/>
    <col min="25" max="29" width="11.28515625" bestFit="1" customWidth="1"/>
    <col min="30" max="30" width="10" bestFit="1" customWidth="1"/>
    <col min="31" max="31" width="6.7109375" bestFit="1" customWidth="1"/>
    <col min="32" max="32" width="8.7109375" bestFit="1" customWidth="1"/>
    <col min="33" max="38" width="11.28515625" bestFit="1" customWidth="1"/>
    <col min="39" max="39" width="10" bestFit="1" customWidth="1"/>
    <col min="40" max="40" width="11.28515625" bestFit="1" customWidth="1"/>
    <col min="41" max="41" width="10" bestFit="1" customWidth="1"/>
    <col min="42" max="42" width="6.7109375" bestFit="1" customWidth="1"/>
    <col min="43" max="51" width="11.28515625" bestFit="1" customWidth="1"/>
    <col min="52" max="52" width="10" bestFit="1" customWidth="1"/>
    <col min="53" max="59" width="11.28515625" bestFit="1" customWidth="1"/>
    <col min="60" max="60" width="10" bestFit="1" customWidth="1"/>
    <col min="61" max="65" width="11.28515625" bestFit="1" customWidth="1"/>
    <col min="66" max="66" width="10" bestFit="1" customWidth="1"/>
    <col min="67" max="67" width="6.7109375" bestFit="1" customWidth="1"/>
    <col min="68" max="79" width="11.28515625" bestFit="1" customWidth="1"/>
    <col min="80" max="80" width="10" bestFit="1" customWidth="1"/>
    <col min="81" max="90" width="11.28515625" bestFit="1" customWidth="1"/>
    <col min="91" max="91" width="10" bestFit="1" customWidth="1"/>
  </cols>
  <sheetData>
    <row r="3" spans="1:2">
      <c r="A3" s="10" t="s">
        <v>446</v>
      </c>
    </row>
    <row r="4" spans="1:2">
      <c r="A4" s="9" t="s">
        <v>447</v>
      </c>
      <c r="B4">
        <v>3</v>
      </c>
    </row>
    <row r="5" spans="1:2">
      <c r="A5" s="9" t="s">
        <v>448</v>
      </c>
      <c r="B5">
        <v>30</v>
      </c>
    </row>
    <row r="6" spans="1:2">
      <c r="A6" s="9" t="s">
        <v>449</v>
      </c>
      <c r="B6">
        <v>6</v>
      </c>
    </row>
    <row r="7" spans="1:2">
      <c r="A7" s="9" t="s">
        <v>450</v>
      </c>
      <c r="B7">
        <v>22</v>
      </c>
    </row>
    <row r="8" spans="1:2">
      <c r="A8" s="9" t="s">
        <v>451</v>
      </c>
      <c r="B8">
        <v>1</v>
      </c>
    </row>
    <row r="9" spans="1:2">
      <c r="A9" s="9" t="s">
        <v>452</v>
      </c>
      <c r="B9">
        <v>32</v>
      </c>
    </row>
    <row r="10" spans="1:2">
      <c r="A10" s="9" t="s">
        <v>453</v>
      </c>
      <c r="B10">
        <v>25</v>
      </c>
    </row>
    <row r="11" spans="1:2">
      <c r="A11" s="9" t="s">
        <v>454</v>
      </c>
      <c r="B11">
        <v>2</v>
      </c>
    </row>
    <row r="12" spans="1:2">
      <c r="A12" s="9" t="s">
        <v>455</v>
      </c>
      <c r="B12">
        <v>7</v>
      </c>
    </row>
    <row r="13" spans="1:2">
      <c r="A13" s="9" t="s">
        <v>456</v>
      </c>
      <c r="B13">
        <v>33</v>
      </c>
    </row>
    <row r="14" spans="1:2">
      <c r="A14" s="9" t="s">
        <v>457</v>
      </c>
      <c r="B14">
        <v>7</v>
      </c>
    </row>
    <row r="15" spans="1:2">
      <c r="A15" s="9" t="s">
        <v>458</v>
      </c>
      <c r="B15">
        <v>0</v>
      </c>
    </row>
    <row r="16" spans="1:2">
      <c r="A16" s="9" t="s">
        <v>459</v>
      </c>
      <c r="B16">
        <v>8</v>
      </c>
    </row>
    <row r="17" spans="1:2">
      <c r="A17" s="9" t="s">
        <v>460</v>
      </c>
      <c r="B17">
        <v>22</v>
      </c>
    </row>
    <row r="18" spans="1:2">
      <c r="A18" s="9" t="s">
        <v>461</v>
      </c>
      <c r="B18">
        <v>81</v>
      </c>
    </row>
    <row r="19" spans="1:2">
      <c r="B19">
        <f>SUM(B4:B18)</f>
        <v>279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71ED-A936-49BE-AE7D-AB3220B5A541}">
  <dimension ref="A1:E60"/>
  <sheetViews>
    <sheetView topLeftCell="A33" zoomScaleNormal="100" workbookViewId="0">
      <selection activeCell="B51" sqref="B51"/>
    </sheetView>
  </sheetViews>
  <sheetFormatPr defaultRowHeight="14.45"/>
  <cols>
    <col min="2" max="2" width="51.28515625" customWidth="1"/>
    <col min="3" max="4" width="8.85546875" style="62"/>
    <col min="5" max="5" width="74.5703125" customWidth="1"/>
  </cols>
  <sheetData>
    <row r="1" spans="1:5">
      <c r="A1" s="64">
        <v>46029</v>
      </c>
      <c r="B1" t="s">
        <v>462</v>
      </c>
      <c r="C1" s="62" t="s">
        <v>463</v>
      </c>
      <c r="D1" s="62" t="s">
        <v>464</v>
      </c>
      <c r="E1" t="s">
        <v>465</v>
      </c>
    </row>
    <row r="2" spans="1:5">
      <c r="A2" s="64">
        <v>46029</v>
      </c>
      <c r="B2" t="s">
        <v>466</v>
      </c>
      <c r="C2" s="62">
        <v>0.29166666666666669</v>
      </c>
      <c r="D2" s="62">
        <v>0.3125</v>
      </c>
    </row>
    <row r="3" spans="1:5">
      <c r="A3" s="64">
        <v>46029</v>
      </c>
      <c r="B3" t="s">
        <v>467</v>
      </c>
      <c r="C3" s="62">
        <v>0.31597222222222221</v>
      </c>
      <c r="D3" s="62">
        <v>0.33333333333333331</v>
      </c>
    </row>
    <row r="4" spans="1:5">
      <c r="A4" s="64">
        <v>46029</v>
      </c>
      <c r="B4" t="s">
        <v>468</v>
      </c>
      <c r="C4" s="62">
        <v>0.34375</v>
      </c>
      <c r="D4" s="62">
        <v>0.36041666666666666</v>
      </c>
    </row>
    <row r="5" spans="1:5">
      <c r="A5" s="64">
        <v>46029</v>
      </c>
      <c r="B5" t="s">
        <v>469</v>
      </c>
      <c r="C5" s="62">
        <v>0.36041666666666666</v>
      </c>
      <c r="D5" s="62">
        <v>0.36388888888888887</v>
      </c>
    </row>
    <row r="6" spans="1:5">
      <c r="A6" s="64">
        <v>46029</v>
      </c>
      <c r="B6" t="s">
        <v>470</v>
      </c>
      <c r="C6" s="62">
        <v>0.36388888888888887</v>
      </c>
      <c r="D6" s="62">
        <v>0.38541666666666669</v>
      </c>
    </row>
    <row r="7" spans="1:5" ht="28.9">
      <c r="A7" s="64">
        <v>46029</v>
      </c>
      <c r="B7" s="63" t="s">
        <v>471</v>
      </c>
      <c r="C7" s="62">
        <v>0.38263888888888886</v>
      </c>
      <c r="D7" s="62">
        <v>0.3923611111111111</v>
      </c>
    </row>
    <row r="8" spans="1:5">
      <c r="A8" s="64">
        <v>46029</v>
      </c>
      <c r="B8" t="s">
        <v>472</v>
      </c>
      <c r="C8" s="62">
        <v>0.39305555555555555</v>
      </c>
      <c r="D8" s="62">
        <v>0.41666666666666669</v>
      </c>
    </row>
    <row r="9" spans="1:5">
      <c r="A9" s="64">
        <v>46029</v>
      </c>
      <c r="B9" t="s">
        <v>473</v>
      </c>
      <c r="C9" s="62">
        <v>0.41805555555555557</v>
      </c>
      <c r="D9" s="62">
        <v>0.41875000000000001</v>
      </c>
    </row>
    <row r="10" spans="1:5">
      <c r="A10" s="64">
        <v>46029</v>
      </c>
      <c r="B10" t="s">
        <v>474</v>
      </c>
      <c r="C10" s="62">
        <v>0.41875000000000001</v>
      </c>
      <c r="D10" s="62">
        <v>0.43611111111111112</v>
      </c>
    </row>
    <row r="11" spans="1:5">
      <c r="A11" s="64">
        <v>46029</v>
      </c>
      <c r="B11" t="s">
        <v>475</v>
      </c>
      <c r="C11" s="62">
        <v>0.43680555555555556</v>
      </c>
      <c r="D11" s="62">
        <v>0.46041666666666664</v>
      </c>
    </row>
    <row r="12" spans="1:5">
      <c r="A12" s="64">
        <v>46029</v>
      </c>
      <c r="B12" t="s">
        <v>476</v>
      </c>
      <c r="C12" s="62">
        <v>0.46111111111111114</v>
      </c>
      <c r="D12" s="62">
        <v>0.46458333333333335</v>
      </c>
    </row>
    <row r="13" spans="1:5">
      <c r="A13" s="64">
        <v>46029</v>
      </c>
      <c r="B13" t="s">
        <v>477</v>
      </c>
      <c r="C13" s="62">
        <v>0.46527777777777779</v>
      </c>
      <c r="D13" s="62">
        <v>0.4826388888888889</v>
      </c>
    </row>
    <row r="14" spans="1:5">
      <c r="A14" s="64">
        <v>46029</v>
      </c>
      <c r="B14" t="s">
        <v>478</v>
      </c>
      <c r="C14" s="62">
        <v>0.54166666666666663</v>
      </c>
      <c r="D14" s="62">
        <v>0.55277777777777781</v>
      </c>
    </row>
    <row r="15" spans="1:5">
      <c r="A15" s="64">
        <v>46029</v>
      </c>
      <c r="B15" t="s">
        <v>479</v>
      </c>
      <c r="C15" s="62">
        <v>0.55347222222222225</v>
      </c>
      <c r="D15" s="62">
        <v>0.55625000000000002</v>
      </c>
    </row>
    <row r="16" spans="1:5">
      <c r="A16" s="64">
        <v>46029</v>
      </c>
      <c r="B16" t="s">
        <v>480</v>
      </c>
      <c r="C16" s="62">
        <v>0.55625000000000002</v>
      </c>
      <c r="D16" s="62">
        <v>0.56111111111111112</v>
      </c>
    </row>
    <row r="17" spans="1:4">
      <c r="A17" s="64">
        <v>46029</v>
      </c>
      <c r="B17" t="s">
        <v>481</v>
      </c>
      <c r="C17" s="62">
        <v>0.5625</v>
      </c>
      <c r="D17" s="62">
        <v>0.56527777777777777</v>
      </c>
    </row>
    <row r="18" spans="1:4">
      <c r="A18" s="64">
        <v>46029</v>
      </c>
      <c r="B18" t="s">
        <v>482</v>
      </c>
      <c r="C18" s="62">
        <v>0.56597222222222221</v>
      </c>
      <c r="D18" s="62">
        <v>0.56944444444444442</v>
      </c>
    </row>
    <row r="19" spans="1:4">
      <c r="A19" s="64">
        <v>46029</v>
      </c>
      <c r="B19" t="s">
        <v>483</v>
      </c>
      <c r="C19" s="62">
        <v>0.57013888888888886</v>
      </c>
      <c r="D19" s="62">
        <v>0.57361111111111107</v>
      </c>
    </row>
    <row r="20" spans="1:4">
      <c r="A20" s="64">
        <v>46029</v>
      </c>
      <c r="B20" t="s">
        <v>484</v>
      </c>
      <c r="C20" s="62">
        <v>0.57499999999999996</v>
      </c>
      <c r="D20" s="62">
        <v>0.60972222222222228</v>
      </c>
    </row>
    <row r="21" spans="1:4">
      <c r="A21" s="64">
        <v>46029</v>
      </c>
      <c r="B21" t="s">
        <v>485</v>
      </c>
      <c r="C21" s="62">
        <v>0.61041666666666672</v>
      </c>
      <c r="D21" s="62">
        <v>0.63611111111111107</v>
      </c>
    </row>
    <row r="22" spans="1:4">
      <c r="A22" s="64">
        <v>46029</v>
      </c>
      <c r="B22" t="s">
        <v>486</v>
      </c>
      <c r="C22" s="62">
        <v>0.63680555555555551</v>
      </c>
      <c r="D22" s="62">
        <v>0.67361111111111116</v>
      </c>
    </row>
    <row r="23" spans="1:4">
      <c r="A23" s="64">
        <v>46029</v>
      </c>
      <c r="B23" t="s">
        <v>487</v>
      </c>
      <c r="C23" s="62">
        <v>0.6743055555555556</v>
      </c>
      <c r="D23" s="62">
        <v>0.69652777777777775</v>
      </c>
    </row>
    <row r="25" spans="1:4">
      <c r="A25" s="64">
        <v>46031</v>
      </c>
      <c r="B25" t="s">
        <v>466</v>
      </c>
      <c r="C25" s="62">
        <v>0.29166666666666669</v>
      </c>
      <c r="D25" s="62">
        <v>0.31597222222222221</v>
      </c>
    </row>
    <row r="26" spans="1:4">
      <c r="A26" s="64">
        <v>46031</v>
      </c>
      <c r="B26" t="s">
        <v>488</v>
      </c>
      <c r="C26" s="62">
        <v>0.31944444444444442</v>
      </c>
      <c r="D26" s="62">
        <v>0.35416666666666669</v>
      </c>
    </row>
    <row r="27" spans="1:4">
      <c r="A27" s="64">
        <v>46031</v>
      </c>
      <c r="B27" t="s">
        <v>489</v>
      </c>
      <c r="C27" s="62">
        <v>0.36319444444444443</v>
      </c>
      <c r="D27" s="62">
        <v>0.375</v>
      </c>
    </row>
    <row r="28" spans="1:4">
      <c r="A28" s="64">
        <v>46031</v>
      </c>
      <c r="B28" t="s">
        <v>490</v>
      </c>
      <c r="C28" s="62">
        <v>0.375</v>
      </c>
      <c r="D28" s="62">
        <v>0.37986111111111109</v>
      </c>
    </row>
    <row r="29" spans="1:4">
      <c r="A29" s="64">
        <v>46031</v>
      </c>
      <c r="B29" t="s">
        <v>491</v>
      </c>
      <c r="C29" s="62">
        <v>0.3840277777777778</v>
      </c>
      <c r="D29" s="62">
        <v>0.39930555555555558</v>
      </c>
    </row>
    <row r="30" spans="1:4">
      <c r="A30" s="64">
        <v>46031</v>
      </c>
      <c r="B30" t="s">
        <v>492</v>
      </c>
      <c r="C30" s="62">
        <v>0.39930555555555558</v>
      </c>
      <c r="D30" s="62">
        <v>0.41666666666666669</v>
      </c>
    </row>
    <row r="31" spans="1:4">
      <c r="A31" s="64">
        <v>46031</v>
      </c>
      <c r="B31" t="s">
        <v>493</v>
      </c>
      <c r="C31" s="62">
        <v>0.41666666666666669</v>
      </c>
      <c r="D31" s="62">
        <v>0.43402777777777779</v>
      </c>
    </row>
    <row r="32" spans="1:4">
      <c r="A32" s="64">
        <v>46031</v>
      </c>
      <c r="B32" t="s">
        <v>494</v>
      </c>
      <c r="C32" s="62">
        <v>0.43472222222222223</v>
      </c>
      <c r="D32" s="62">
        <v>0.47569444444444442</v>
      </c>
    </row>
    <row r="33" spans="1:4">
      <c r="A33" s="64">
        <v>46031</v>
      </c>
      <c r="B33" t="s">
        <v>495</v>
      </c>
      <c r="C33" s="62">
        <v>0.47569444444444442</v>
      </c>
      <c r="D33" s="62">
        <v>0.52638888888888891</v>
      </c>
    </row>
    <row r="34" spans="1:4">
      <c r="A34" s="64">
        <v>46031</v>
      </c>
      <c r="B34" t="s">
        <v>496</v>
      </c>
      <c r="C34" s="62">
        <v>0.54861111111111116</v>
      </c>
      <c r="D34" s="62">
        <v>0.55277777777777781</v>
      </c>
    </row>
    <row r="35" spans="1:4">
      <c r="A35" s="64">
        <v>46031</v>
      </c>
      <c r="B35" t="s">
        <v>497</v>
      </c>
      <c r="C35" s="62">
        <v>0.55347222222222225</v>
      </c>
      <c r="D35" s="62">
        <v>0.5756944444444444</v>
      </c>
    </row>
    <row r="36" spans="1:4">
      <c r="A36" s="64">
        <v>46031</v>
      </c>
      <c r="B36" t="s">
        <v>498</v>
      </c>
      <c r="C36" s="62">
        <v>0.57638888888888884</v>
      </c>
      <c r="D36" s="62">
        <v>0.57847222222222228</v>
      </c>
    </row>
    <row r="37" spans="1:4">
      <c r="A37" s="64">
        <v>46031</v>
      </c>
      <c r="B37" t="s">
        <v>499</v>
      </c>
      <c r="C37" s="62">
        <v>0.57847222222222228</v>
      </c>
      <c r="D37" s="62">
        <v>0.59722222222222221</v>
      </c>
    </row>
    <row r="38" spans="1:4">
      <c r="A38" s="64">
        <v>46031</v>
      </c>
      <c r="B38" t="s">
        <v>486</v>
      </c>
      <c r="C38" s="62">
        <v>0.59861111111111109</v>
      </c>
      <c r="D38" s="62">
        <v>0.625</v>
      </c>
    </row>
    <row r="39" spans="1:4">
      <c r="A39" s="64">
        <v>46031</v>
      </c>
      <c r="B39" t="s">
        <v>487</v>
      </c>
      <c r="C39" s="62">
        <v>0.62569444444444444</v>
      </c>
      <c r="D39" s="62">
        <v>0.65138888888888891</v>
      </c>
    </row>
    <row r="40" spans="1:4">
      <c r="A40" s="64"/>
    </row>
    <row r="41" spans="1:4">
      <c r="A41" s="64">
        <v>46034</v>
      </c>
      <c r="B41" t="s">
        <v>466</v>
      </c>
      <c r="C41" s="62">
        <v>0.29166666666666669</v>
      </c>
      <c r="D41" s="62">
        <v>0.31944444444444442</v>
      </c>
    </row>
    <row r="42" spans="1:4">
      <c r="A42" s="64">
        <v>46034</v>
      </c>
      <c r="B42" t="s">
        <v>488</v>
      </c>
      <c r="C42" s="62">
        <v>0.31944444444444442</v>
      </c>
      <c r="D42" s="62">
        <v>0.3298611111111111</v>
      </c>
    </row>
    <row r="43" spans="1:4">
      <c r="A43" s="64">
        <v>46034</v>
      </c>
      <c r="B43" s="65" t="s">
        <v>500</v>
      </c>
      <c r="C43" s="62">
        <v>0.33680555555555558</v>
      </c>
      <c r="D43" s="62">
        <v>0.40625</v>
      </c>
    </row>
    <row r="44" spans="1:4">
      <c r="A44" s="64">
        <v>46034</v>
      </c>
      <c r="B44" t="s">
        <v>501</v>
      </c>
      <c r="C44" s="62">
        <v>0.40625</v>
      </c>
      <c r="D44" s="62">
        <v>0.43263888888888891</v>
      </c>
    </row>
    <row r="45" spans="1:4">
      <c r="A45" s="64">
        <v>46034</v>
      </c>
      <c r="B45" t="s">
        <v>502</v>
      </c>
      <c r="C45" s="62">
        <v>0.43263888888888891</v>
      </c>
      <c r="D45" s="62">
        <v>0.44444444444444442</v>
      </c>
    </row>
    <row r="46" spans="1:4">
      <c r="A46" s="64">
        <v>46034</v>
      </c>
      <c r="B46" t="s">
        <v>503</v>
      </c>
      <c r="C46" s="62">
        <v>0.44444444444444442</v>
      </c>
      <c r="D46" s="62">
        <v>0.46527777777777779</v>
      </c>
    </row>
    <row r="47" spans="1:4">
      <c r="A47" s="64">
        <v>46034</v>
      </c>
      <c r="B47" t="s">
        <v>504</v>
      </c>
      <c r="C47" s="62">
        <v>0.4861111111111111</v>
      </c>
      <c r="D47" s="62">
        <v>0.52777777777777779</v>
      </c>
    </row>
    <row r="48" spans="1:4">
      <c r="A48" s="64">
        <v>46034</v>
      </c>
      <c r="B48" t="s">
        <v>505</v>
      </c>
      <c r="C48" s="62">
        <v>0.52777777777777779</v>
      </c>
      <c r="D48" s="62">
        <v>0.53125</v>
      </c>
    </row>
    <row r="49" spans="1:4">
      <c r="A49" s="64">
        <v>46034</v>
      </c>
      <c r="B49" t="s">
        <v>487</v>
      </c>
      <c r="C49" s="62">
        <v>0.55555555555555558</v>
      </c>
      <c r="D49" s="62">
        <v>0.59027777777777779</v>
      </c>
    </row>
    <row r="50" spans="1:4">
      <c r="A50" s="64">
        <v>46034</v>
      </c>
      <c r="B50" t="s">
        <v>506</v>
      </c>
      <c r="C50" s="62">
        <v>0.60416666666666663</v>
      </c>
      <c r="D50" s="62">
        <v>0.61805555555555558</v>
      </c>
    </row>
    <row r="51" spans="1:4">
      <c r="A51" s="64">
        <v>46034</v>
      </c>
      <c r="B51" t="s">
        <v>507</v>
      </c>
      <c r="C51" s="62">
        <v>0.61805555555555558</v>
      </c>
      <c r="D51" s="62">
        <v>0.65277777777777779</v>
      </c>
    </row>
    <row r="52" spans="1:4">
      <c r="A52" s="64">
        <v>46034</v>
      </c>
      <c r="B52" t="s">
        <v>487</v>
      </c>
      <c r="C52" s="62">
        <v>0.65416666666666667</v>
      </c>
      <c r="D52" s="62">
        <v>0.67708333333333337</v>
      </c>
    </row>
    <row r="53" spans="1:4">
      <c r="A53" s="64"/>
    </row>
    <row r="54" spans="1:4">
      <c r="A54" s="64"/>
    </row>
    <row r="55" spans="1:4">
      <c r="A55" s="64"/>
    </row>
    <row r="56" spans="1:4">
      <c r="A56" s="64"/>
    </row>
    <row r="57" spans="1:4">
      <c r="A57" s="64"/>
    </row>
    <row r="58" spans="1:4">
      <c r="A58" s="64"/>
    </row>
    <row r="59" spans="1:4">
      <c r="A59" s="64"/>
    </row>
    <row r="60" spans="1:4">
      <c r="A60" s="64"/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33"/>
  <sheetViews>
    <sheetView topLeftCell="J12" zoomScale="107" zoomScaleNormal="107" workbookViewId="0">
      <selection activeCell="Q33" sqref="Q33"/>
    </sheetView>
  </sheetViews>
  <sheetFormatPr defaultColWidth="8.85546875" defaultRowHeight="12"/>
  <cols>
    <col min="1" max="1" width="8.85546875" style="2"/>
    <col min="2" max="2" width="28" style="2" customWidth="1"/>
    <col min="3" max="3" width="15.5703125" style="2" customWidth="1"/>
    <col min="4" max="4" width="16.85546875" style="2" customWidth="1"/>
    <col min="5" max="5" width="10.5703125" style="2" bestFit="1" customWidth="1"/>
    <col min="6" max="6" width="20" style="2" bestFit="1" customWidth="1"/>
    <col min="7" max="7" width="8.28515625" style="2" bestFit="1" customWidth="1"/>
    <col min="8" max="8" width="22.28515625" style="2" bestFit="1" customWidth="1"/>
    <col min="9" max="9" width="29.7109375" style="2" bestFit="1" customWidth="1"/>
    <col min="10" max="10" width="16.5703125" style="2" customWidth="1"/>
    <col min="11" max="11" width="24.42578125" style="2" customWidth="1"/>
    <col min="12" max="13" width="20.28515625" style="2" bestFit="1" customWidth="1"/>
    <col min="14" max="14" width="23.42578125" style="2" customWidth="1"/>
    <col min="15" max="15" width="21.85546875" style="2" bestFit="1" customWidth="1"/>
    <col min="16" max="16" width="13.7109375" style="2" bestFit="1" customWidth="1"/>
    <col min="17" max="17" width="32.28515625" style="2" customWidth="1"/>
    <col min="18" max="18" width="8.85546875" style="2"/>
    <col min="19" max="19" width="10.28515625" style="2" customWidth="1"/>
    <col min="20" max="20" width="10.7109375" style="2" customWidth="1"/>
    <col min="21" max="16384" width="8.85546875" style="2"/>
  </cols>
  <sheetData>
    <row r="2" spans="2:20" s="4" customFormat="1" ht="48">
      <c r="B2" s="5" t="s">
        <v>508</v>
      </c>
      <c r="C2" s="4" t="s">
        <v>509</v>
      </c>
      <c r="D2" s="4" t="s">
        <v>510</v>
      </c>
      <c r="E2" s="4" t="s">
        <v>511</v>
      </c>
      <c r="F2" s="4" t="s">
        <v>512</v>
      </c>
      <c r="G2" s="4" t="s">
        <v>513</v>
      </c>
      <c r="H2" s="4" t="s">
        <v>22</v>
      </c>
      <c r="I2" s="4" t="s">
        <v>514</v>
      </c>
      <c r="J2" s="5" t="s">
        <v>515</v>
      </c>
      <c r="K2" s="4" t="s">
        <v>516</v>
      </c>
      <c r="L2" s="4" t="s">
        <v>517</v>
      </c>
      <c r="M2" s="4" t="s">
        <v>518</v>
      </c>
      <c r="N2" s="4" t="s">
        <v>31</v>
      </c>
      <c r="O2" s="4" t="s">
        <v>519</v>
      </c>
      <c r="P2" s="5" t="s">
        <v>520</v>
      </c>
      <c r="Q2" s="4" t="s">
        <v>521</v>
      </c>
      <c r="S2" s="5" t="s">
        <v>34</v>
      </c>
      <c r="T2" s="5" t="s">
        <v>35</v>
      </c>
    </row>
    <row r="3" spans="2:20">
      <c r="B3" s="2" t="s">
        <v>522</v>
      </c>
      <c r="C3" s="2" t="s">
        <v>56</v>
      </c>
      <c r="D3" s="2" t="s">
        <v>67</v>
      </c>
      <c r="F3" s="2" t="s">
        <v>523</v>
      </c>
      <c r="G3" s="2" t="s">
        <v>55</v>
      </c>
      <c r="H3" s="2" t="s">
        <v>67</v>
      </c>
      <c r="I3" s="2" t="s">
        <v>524</v>
      </c>
      <c r="J3" s="2" t="s">
        <v>525</v>
      </c>
      <c r="K3" s="2" t="s">
        <v>71</v>
      </c>
      <c r="L3" s="2" t="s">
        <v>67</v>
      </c>
      <c r="M3" s="2" t="s">
        <v>526</v>
      </c>
      <c r="N3" s="2" t="s">
        <v>527</v>
      </c>
      <c r="O3" s="2" t="s">
        <v>528</v>
      </c>
      <c r="P3" s="2" t="s">
        <v>67</v>
      </c>
      <c r="Q3" s="2" t="s">
        <v>529</v>
      </c>
      <c r="S3" s="6" t="s">
        <v>67</v>
      </c>
      <c r="T3" s="6" t="s">
        <v>530</v>
      </c>
    </row>
    <row r="4" spans="2:20" ht="24">
      <c r="B4" s="2" t="s">
        <v>531</v>
      </c>
      <c r="C4" s="2" t="s">
        <v>532</v>
      </c>
      <c r="D4" s="2" t="s">
        <v>60</v>
      </c>
      <c r="F4" s="2" t="s">
        <v>533</v>
      </c>
      <c r="G4" s="2" t="s">
        <v>534</v>
      </c>
      <c r="H4" s="2" t="s">
        <v>60</v>
      </c>
      <c r="I4" s="2" t="s">
        <v>535</v>
      </c>
      <c r="J4" s="2" t="s">
        <v>536</v>
      </c>
      <c r="K4" s="2" t="s">
        <v>76</v>
      </c>
      <c r="L4" s="2" t="s">
        <v>60</v>
      </c>
      <c r="M4" s="2" t="s">
        <v>537</v>
      </c>
      <c r="N4" s="2" t="s">
        <v>538</v>
      </c>
      <c r="O4" s="2" t="s">
        <v>536</v>
      </c>
      <c r="P4" s="2" t="s">
        <v>60</v>
      </c>
      <c r="Q4" s="2" t="s">
        <v>539</v>
      </c>
      <c r="S4" s="6" t="s">
        <v>60</v>
      </c>
      <c r="T4" s="6" t="s">
        <v>536</v>
      </c>
    </row>
    <row r="5" spans="2:20" ht="24">
      <c r="B5" s="2" t="s">
        <v>540</v>
      </c>
      <c r="C5" s="2" t="s">
        <v>106</v>
      </c>
      <c r="I5" s="2" t="s">
        <v>541</v>
      </c>
      <c r="J5" s="2" t="s">
        <v>542</v>
      </c>
      <c r="K5" s="2" t="s">
        <v>91</v>
      </c>
      <c r="M5" s="2" t="s">
        <v>59</v>
      </c>
      <c r="N5" s="2" t="s">
        <v>543</v>
      </c>
      <c r="O5" s="2" t="s">
        <v>544</v>
      </c>
      <c r="Q5" s="2" t="s">
        <v>545</v>
      </c>
      <c r="S5" s="6"/>
      <c r="T5" s="6" t="s">
        <v>66</v>
      </c>
    </row>
    <row r="6" spans="2:20">
      <c r="B6" s="2" t="s">
        <v>546</v>
      </c>
      <c r="I6" s="2" t="s">
        <v>547</v>
      </c>
      <c r="K6" s="2" t="s">
        <v>548</v>
      </c>
      <c r="N6" s="2" t="s">
        <v>549</v>
      </c>
      <c r="Q6" s="2" t="s">
        <v>550</v>
      </c>
    </row>
    <row r="7" spans="2:20">
      <c r="B7" s="2" t="s">
        <v>551</v>
      </c>
      <c r="K7" s="2" t="s">
        <v>552</v>
      </c>
      <c r="N7" s="2" t="s">
        <v>553</v>
      </c>
      <c r="Q7" s="2" t="s">
        <v>554</v>
      </c>
    </row>
    <row r="8" spans="2:20" ht="36">
      <c r="B8" s="2" t="s">
        <v>555</v>
      </c>
      <c r="K8" s="2" t="s">
        <v>556</v>
      </c>
      <c r="N8" s="3" t="s">
        <v>557</v>
      </c>
      <c r="Q8" s="2" t="s">
        <v>68</v>
      </c>
    </row>
    <row r="9" spans="2:20">
      <c r="B9" s="2" t="s">
        <v>558</v>
      </c>
      <c r="Q9" s="2" t="s">
        <v>559</v>
      </c>
    </row>
    <row r="10" spans="2:20">
      <c r="B10" s="2" t="s">
        <v>560</v>
      </c>
    </row>
    <row r="11" spans="2:20">
      <c r="B11" s="2" t="s">
        <v>561</v>
      </c>
    </row>
    <row r="12" spans="2:20">
      <c r="B12" s="2" t="s">
        <v>562</v>
      </c>
      <c r="N12" s="79" t="s">
        <v>563</v>
      </c>
      <c r="O12" s="79"/>
      <c r="P12" s="79"/>
      <c r="Q12" s="79"/>
    </row>
    <row r="13" spans="2:20">
      <c r="B13" s="2" t="s">
        <v>564</v>
      </c>
      <c r="N13" s="79"/>
      <c r="O13" s="79"/>
      <c r="P13" s="79"/>
      <c r="Q13" s="79"/>
    </row>
    <row r="14" spans="2:20" ht="14.45">
      <c r="B14" s="2" t="s">
        <v>565</v>
      </c>
      <c r="N14" s="67" t="s">
        <v>566</v>
      </c>
      <c r="O14" s="67" t="s">
        <v>567</v>
      </c>
      <c r="P14" s="67" t="s">
        <v>568</v>
      </c>
      <c r="Q14" s="67" t="s">
        <v>569</v>
      </c>
    </row>
    <row r="15" spans="2:20" ht="28.9">
      <c r="B15" s="2" t="s">
        <v>304</v>
      </c>
      <c r="N15" s="69" t="s">
        <v>570</v>
      </c>
      <c r="O15" s="68" t="s">
        <v>571</v>
      </c>
      <c r="P15" s="70" t="s">
        <v>572</v>
      </c>
      <c r="Q15" s="68" t="s">
        <v>573</v>
      </c>
    </row>
    <row r="16" spans="2:20" ht="14.45">
      <c r="B16" s="2" t="s">
        <v>355</v>
      </c>
      <c r="N16" s="69" t="s">
        <v>574</v>
      </c>
      <c r="O16" s="68" t="s">
        <v>575</v>
      </c>
      <c r="P16" s="70" t="s">
        <v>576</v>
      </c>
      <c r="Q16" s="68" t="s">
        <v>577</v>
      </c>
    </row>
    <row r="17" spans="2:17" ht="14.45">
      <c r="B17" s="2" t="s">
        <v>356</v>
      </c>
      <c r="N17" s="69" t="s">
        <v>578</v>
      </c>
      <c r="O17" s="68" t="s">
        <v>579</v>
      </c>
      <c r="P17" s="70" t="s">
        <v>580</v>
      </c>
      <c r="Q17" s="68" t="s">
        <v>581</v>
      </c>
    </row>
    <row r="18" spans="2:17" ht="14.45">
      <c r="B18" s="2" t="s">
        <v>357</v>
      </c>
      <c r="N18" s="69" t="s">
        <v>582</v>
      </c>
      <c r="O18" s="68" t="s">
        <v>583</v>
      </c>
      <c r="P18" s="70" t="s">
        <v>584</v>
      </c>
      <c r="Q18" s="68" t="s">
        <v>585</v>
      </c>
    </row>
    <row r="19" spans="2:17" ht="14.45">
      <c r="B19" s="2" t="s">
        <v>103</v>
      </c>
      <c r="N19" s="69" t="s">
        <v>586</v>
      </c>
      <c r="O19" s="68" t="s">
        <v>587</v>
      </c>
      <c r="P19" s="70" t="s">
        <v>588</v>
      </c>
      <c r="Q19" s="68" t="s">
        <v>589</v>
      </c>
    </row>
    <row r="20" spans="2:17" ht="28.9">
      <c r="B20" s="2" t="s">
        <v>358</v>
      </c>
      <c r="N20" s="69" t="s">
        <v>590</v>
      </c>
      <c r="O20" s="68" t="s">
        <v>591</v>
      </c>
      <c r="P20" s="70" t="s">
        <v>592</v>
      </c>
      <c r="Q20" s="68" t="s">
        <v>593</v>
      </c>
    </row>
    <row r="21" spans="2:17" ht="14.45">
      <c r="B21" s="2" t="s">
        <v>359</v>
      </c>
      <c r="N21" s="69" t="s">
        <v>594</v>
      </c>
      <c r="O21" s="68" t="s">
        <v>595</v>
      </c>
      <c r="P21" s="70" t="s">
        <v>596</v>
      </c>
      <c r="Q21" s="68" t="s">
        <v>597</v>
      </c>
    </row>
    <row r="22" spans="2:17" ht="14.45">
      <c r="B22" s="2" t="s">
        <v>598</v>
      </c>
      <c r="N22" s="69" t="s">
        <v>599</v>
      </c>
      <c r="O22" s="68" t="s">
        <v>600</v>
      </c>
      <c r="P22" s="70" t="s">
        <v>601</v>
      </c>
      <c r="Q22" s="68" t="s">
        <v>602</v>
      </c>
    </row>
    <row r="23" spans="2:17" ht="14.45">
      <c r="B23" s="2" t="s">
        <v>361</v>
      </c>
      <c r="N23" s="69" t="s">
        <v>603</v>
      </c>
      <c r="O23" s="68" t="s">
        <v>604</v>
      </c>
      <c r="P23" s="70" t="s">
        <v>605</v>
      </c>
      <c r="Q23" s="68" t="s">
        <v>606</v>
      </c>
    </row>
    <row r="24" spans="2:17" ht="14.45">
      <c r="B24" s="2" t="s">
        <v>342</v>
      </c>
      <c r="N24" s="69" t="s">
        <v>607</v>
      </c>
      <c r="O24" s="68" t="s">
        <v>608</v>
      </c>
      <c r="P24" s="70" t="s">
        <v>609</v>
      </c>
      <c r="Q24" s="68" t="s">
        <v>610</v>
      </c>
    </row>
    <row r="25" spans="2:17" ht="14.45">
      <c r="B25" s="2" t="s">
        <v>100</v>
      </c>
      <c r="N25" s="69" t="s">
        <v>611</v>
      </c>
      <c r="O25" s="68" t="s">
        <v>612</v>
      </c>
      <c r="P25" s="70" t="s">
        <v>613</v>
      </c>
      <c r="Q25" s="68" t="s">
        <v>614</v>
      </c>
    </row>
    <row r="26" spans="2:17" ht="14.45">
      <c r="B26" s="2" t="s">
        <v>362</v>
      </c>
      <c r="N26" s="69" t="s">
        <v>615</v>
      </c>
      <c r="O26" s="68" t="s">
        <v>616</v>
      </c>
      <c r="P26" s="70" t="s">
        <v>617</v>
      </c>
      <c r="Q26" s="68" t="s">
        <v>618</v>
      </c>
    </row>
    <row r="27" spans="2:17" ht="14.45">
      <c r="B27" s="2" t="s">
        <v>363</v>
      </c>
      <c r="N27" s="69" t="s">
        <v>619</v>
      </c>
      <c r="O27" s="68" t="s">
        <v>620</v>
      </c>
      <c r="P27" s="70" t="s">
        <v>621</v>
      </c>
      <c r="Q27" s="68" t="s">
        <v>622</v>
      </c>
    </row>
    <row r="28" spans="2:17" ht="14.45">
      <c r="B28" s="2" t="s">
        <v>364</v>
      </c>
      <c r="N28" s="69" t="s">
        <v>562</v>
      </c>
      <c r="O28" s="68" t="s">
        <v>623</v>
      </c>
      <c r="P28" s="70" t="s">
        <v>624</v>
      </c>
      <c r="Q28" s="68" t="s">
        <v>625</v>
      </c>
    </row>
    <row r="29" spans="2:17" ht="14.45">
      <c r="B29" s="2" t="s">
        <v>365</v>
      </c>
      <c r="N29" s="69" t="s">
        <v>626</v>
      </c>
      <c r="O29" s="68" t="s">
        <v>627</v>
      </c>
      <c r="P29" s="70" t="s">
        <v>628</v>
      </c>
      <c r="Q29" s="68" t="s">
        <v>629</v>
      </c>
    </row>
    <row r="30" spans="2:17" ht="14.45">
      <c r="B30" s="2" t="s">
        <v>63</v>
      </c>
      <c r="N30" s="69" t="s">
        <v>630</v>
      </c>
      <c r="O30" s="68" t="s">
        <v>631</v>
      </c>
      <c r="P30" s="70" t="s">
        <v>632</v>
      </c>
      <c r="Q30" s="68" t="s">
        <v>633</v>
      </c>
    </row>
    <row r="31" spans="2:17" ht="14.45">
      <c r="N31" s="71" t="s">
        <v>634</v>
      </c>
      <c r="O31" t="s">
        <v>635</v>
      </c>
      <c r="P31" s="73" t="s">
        <v>636</v>
      </c>
    </row>
    <row r="32" spans="2:17" ht="14.45">
      <c r="O32" s="72"/>
    </row>
    <row r="33" spans="15:15" ht="14.45">
      <c r="O33" s="73"/>
    </row>
  </sheetData>
  <mergeCells count="1">
    <mergeCell ref="N12:Q13"/>
  </mergeCells>
  <pageMargins left="0.511811024" right="0.511811024" top="0.78740157499999996" bottom="0.78740157499999996" header="0.31496062000000002" footer="0.31496062000000002"/>
  <pageSetup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3DC3322E576448B6A1DB97878724FF" ma:contentTypeVersion="18" ma:contentTypeDescription="Crie um novo documento." ma:contentTypeScope="" ma:versionID="16e9d3b0ab875b5a63b89d14fcbd7514">
  <xsd:schema xmlns:xsd="http://www.w3.org/2001/XMLSchema" xmlns:xs="http://www.w3.org/2001/XMLSchema" xmlns:p="http://schemas.microsoft.com/office/2006/metadata/properties" xmlns:ns1="http://schemas.microsoft.com/sharepoint/v3" xmlns:ns2="f547436c-18c2-4ce7-8b1a-96a0a1edb799" xmlns:ns3="e3eb3084-86ab-4c93-a7e0-8c0049f49aae" targetNamespace="http://schemas.microsoft.com/office/2006/metadata/properties" ma:root="true" ma:fieldsID="bb6d520092c2923d14a4516137d9be5c" ns1:_="" ns2:_="" ns3:_="">
    <xsd:import namespace="http://schemas.microsoft.com/sharepoint/v3"/>
    <xsd:import namespace="f547436c-18c2-4ce7-8b1a-96a0a1edb799"/>
    <xsd:import namespace="e3eb3084-86ab-4c93-a7e0-8c0049f49aa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47436c-18c2-4ce7-8b1a-96a0a1edb79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f5c80e8-72c1-4dac-a374-84f5250df824}" ma:internalName="TaxCatchAll" ma:showField="CatchAllData" ma:web="f547436c-18c2-4ce7-8b1a-96a0a1edb7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b3084-86ab-4c93-a7e0-8c0049f49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46dca550-4456-4e9c-8026-cc2d2adf15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f547436c-18c2-4ce7-8b1a-96a0a1edb799" xsi:nil="true"/>
    <lcf76f155ced4ddcb4097134ff3c332f xmlns="e3eb3084-86ab-4c93-a7e0-8c0049f49aa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24F5C2-C088-4AB5-8E10-B0F5EDE23CFB}"/>
</file>

<file path=customXml/itemProps2.xml><?xml version="1.0" encoding="utf-8"?>
<ds:datastoreItem xmlns:ds="http://schemas.openxmlformats.org/officeDocument/2006/customXml" ds:itemID="{EB1034BB-DEC8-495B-A442-EB1E14861F58}"/>
</file>

<file path=customXml/itemProps3.xml><?xml version="1.0" encoding="utf-8"?>
<ds:datastoreItem xmlns:ds="http://schemas.openxmlformats.org/officeDocument/2006/customXml" ds:itemID="{E60240F7-4E0D-4428-AE42-E3CB47D59491}"/>
</file>

<file path=docMetadata/LabelInfo.xml><?xml version="1.0" encoding="utf-8"?>
<clbl:labelList xmlns:clbl="http://schemas.microsoft.com/office/2020/mipLabelMetadata">
  <clbl:label id="{0ce59459-e2ec-49d4-a782-4facb0607cb1}" enabled="1" method="Privileged" siteId="{49158df8-04df-4db2-a1ae-ee3949ca398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2026-02-02T13:47:01Z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0x010100623DC3322E576448B6A1DB97878724FF</vt:lpwstr>
  </property>
</Properties>
</file>